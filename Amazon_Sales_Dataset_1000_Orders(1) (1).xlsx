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hidePivotFieldList="1"/>
  <bookViews>
    <workbookView windowWidth="23040" windowHeight="9516" firstSheet="1" activeTab="3"/>
  </bookViews>
  <sheets>
    <sheet name="Raw Data" sheetId="1" r:id="rId1"/>
    <sheet name="Cleaned Data" sheetId="2" r:id="rId2"/>
    <sheet name="pivote" sheetId="6" r:id="rId3"/>
    <sheet name="Dashbord" sheetId="4" r:id="rId4"/>
  </sheets>
  <definedNames>
    <definedName name="Slicer_Order_Status">#N/A</definedName>
    <definedName name="Slicer_Payment_Method">#N/A</definedName>
    <definedName name="Slicer_Customer_Location">#N/A</definedName>
    <definedName name="Slicer_Category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<sst xmlns="http://schemas.openxmlformats.org/spreadsheetml/2006/main" count="16121" uniqueCount="1262">
  <si>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</si>
  <si>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</si>
  <si>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</si>
  <si>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</si>
  <si>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</si>
  <si>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</si>
  <si>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</si>
  <si>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</si>
  <si>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</si>
  <si>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</si>
  <si>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Order Status</t>
  </si>
  <si>
    <t>ORD100002</t>
  </si>
  <si>
    <t>02-04-2026</t>
  </si>
  <si>
    <t>Running Shoes</t>
  </si>
  <si>
    <t>Footwear</t>
  </si>
  <si>
    <t>Aarav</t>
  </si>
  <si>
    <t>Bengaluru</t>
  </si>
  <si>
    <t>Net Banking</t>
  </si>
  <si>
    <t>Delivered</t>
  </si>
  <si>
    <t>ORD100003</t>
  </si>
  <si>
    <t>12-06-2026</t>
  </si>
  <si>
    <t>Backpack</t>
  </si>
  <si>
    <t>Bags</t>
  </si>
  <si>
    <t>Sahil</t>
  </si>
  <si>
    <t>Ahmedabad</t>
  </si>
  <si>
    <t>Debit Card</t>
  </si>
  <si>
    <t>ORD100004</t>
  </si>
  <si>
    <t>13-06-2026</t>
  </si>
  <si>
    <t>Keyboard</t>
  </si>
  <si>
    <t>Electronics</t>
  </si>
  <si>
    <t>Sneha</t>
  </si>
  <si>
    <t>Hyderabad</t>
  </si>
  <si>
    <t>Cash on Delivery</t>
  </si>
  <si>
    <t>Cancelled</t>
  </si>
  <si>
    <t>ORD100005</t>
  </si>
  <si>
    <t>25-04-2026</t>
  </si>
  <si>
    <t>Headphones</t>
  </si>
  <si>
    <t>Pooja</t>
  </si>
  <si>
    <t>UPI</t>
  </si>
  <si>
    <t>ORD100006</t>
  </si>
  <si>
    <t>27-03-2026</t>
  </si>
  <si>
    <t>ORD100007</t>
  </si>
  <si>
    <t>04-03-2026</t>
  </si>
  <si>
    <t>Aditya</t>
  </si>
  <si>
    <t>Kolkata</t>
  </si>
  <si>
    <t>Pending</t>
  </si>
  <si>
    <t>ORD100008</t>
  </si>
  <si>
    <t>03-06-2026</t>
  </si>
  <si>
    <t>T-Shirt</t>
  </si>
  <si>
    <t>Clothing</t>
  </si>
  <si>
    <t>ORD100009</t>
  </si>
  <si>
    <t>25-05-2026</t>
  </si>
  <si>
    <t>Notebook</t>
  </si>
  <si>
    <t>Stationery</t>
  </si>
  <si>
    <t>ORD100010</t>
  </si>
  <si>
    <t>15-03-2026</t>
  </si>
  <si>
    <t>Neha</t>
  </si>
  <si>
    <t>Pune</t>
  </si>
  <si>
    <t>ORD100011</t>
  </si>
  <si>
    <t>13-04-2026</t>
  </si>
  <si>
    <t>Sports Bottle</t>
  </si>
  <si>
    <t>Sports</t>
  </si>
  <si>
    <t>Isha</t>
  </si>
  <si>
    <t>Nagpur</t>
  </si>
  <si>
    <t>ORD100012</t>
  </si>
  <si>
    <t>29-01-2026</t>
  </si>
  <si>
    <t>Karan</t>
  </si>
  <si>
    <t>Jaipur</t>
  </si>
  <si>
    <t>ORD100013</t>
  </si>
  <si>
    <t>01-04-2026</t>
  </si>
  <si>
    <t>Wireless Mouse</t>
  </si>
  <si>
    <t>Ananya</t>
  </si>
  <si>
    <t>ORD100014</t>
  </si>
  <si>
    <t>26-02-2026</t>
  </si>
  <si>
    <t>ORD100015</t>
  </si>
  <si>
    <t>25-06-2026</t>
  </si>
  <si>
    <t>Jeans</t>
  </si>
  <si>
    <t>Delhi</t>
  </si>
  <si>
    <t>ORD100016</t>
  </si>
  <si>
    <t>14-01-2026</t>
  </si>
  <si>
    <t>Coffee Mug</t>
  </si>
  <si>
    <t>Home</t>
  </si>
  <si>
    <t>Mumbai</t>
  </si>
  <si>
    <t>ORD100017</t>
  </si>
  <si>
    <t>21-03-2026</t>
  </si>
  <si>
    <t>ORD100018</t>
  </si>
  <si>
    <t>01-05-2026</t>
  </si>
  <si>
    <t>Office Chair</t>
  </si>
  <si>
    <t>Furniture</t>
  </si>
  <si>
    <t>Diya</t>
  </si>
  <si>
    <t>Credit Card</t>
  </si>
  <si>
    <t>ORD100019</t>
  </si>
  <si>
    <t>21-02-2026</t>
  </si>
  <si>
    <t>ORD100020</t>
  </si>
  <si>
    <t>20-06-2026</t>
  </si>
  <si>
    <t>Priya</t>
  </si>
  <si>
    <t>ORD100021</t>
  </si>
  <si>
    <t>08-03-2026</t>
  </si>
  <si>
    <t>Chennai</t>
  </si>
  <si>
    <t>ORD100022</t>
  </si>
  <si>
    <t>16-01-2026</t>
  </si>
  <si>
    <t>Water Bottle</t>
  </si>
  <si>
    <t>Vikram</t>
  </si>
  <si>
    <t>ORD100023</t>
  </si>
  <si>
    <t>08-06-2026</t>
  </si>
  <si>
    <t>Lucknow</t>
  </si>
  <si>
    <t>ORD100024</t>
  </si>
  <si>
    <t>09-05-2026</t>
  </si>
  <si>
    <t>ORD100025</t>
  </si>
  <si>
    <t>08-05-2026</t>
  </si>
  <si>
    <t>ORD100026</t>
  </si>
  <si>
    <t>19-04-2026</t>
  </si>
  <si>
    <t>ORD100027</t>
  </si>
  <si>
    <t>11-05-2026</t>
  </si>
  <si>
    <t>ORD100028</t>
  </si>
  <si>
    <t>ORD100029</t>
  </si>
  <si>
    <t>25-01-2026</t>
  </si>
  <si>
    <t>ORD100030</t>
  </si>
  <si>
    <t>21-05-2026</t>
  </si>
  <si>
    <t>Rahul</t>
  </si>
  <si>
    <t>ORD100031</t>
  </si>
  <si>
    <t>07-01-2026</t>
  </si>
  <si>
    <t>Power Bank</t>
  </si>
  <si>
    <t>ORD100032</t>
  </si>
  <si>
    <t>16-06-2026</t>
  </si>
  <si>
    <t>Indore</t>
  </si>
  <si>
    <t>ORD100033</t>
  </si>
  <si>
    <t>ORD100034</t>
  </si>
  <si>
    <t>27-06-2026</t>
  </si>
  <si>
    <t>ORD100035</t>
  </si>
  <si>
    <t>22-06-2026</t>
  </si>
  <si>
    <t>ORD100036</t>
  </si>
  <si>
    <t>20-03-2026</t>
  </si>
  <si>
    <t>ORD100037</t>
  </si>
  <si>
    <t>23-06-2026</t>
  </si>
  <si>
    <t>Smart Watch</t>
  </si>
  <si>
    <t>ORD100038</t>
  </si>
  <si>
    <t>02-03-2026</t>
  </si>
  <si>
    <t>ORD100039</t>
  </si>
  <si>
    <t>07-03-2026</t>
  </si>
  <si>
    <t>ORD100040</t>
  </si>
  <si>
    <t>27-05-2026</t>
  </si>
  <si>
    <t>ORD100041</t>
  </si>
  <si>
    <t>24-03-2026</t>
  </si>
  <si>
    <t>ORD100042</t>
  </si>
  <si>
    <t>12-03-2026</t>
  </si>
  <si>
    <t>ORD100043</t>
  </si>
  <si>
    <t>ORD100044</t>
  </si>
  <si>
    <t>07-05-2026</t>
  </si>
  <si>
    <t>ORD100045</t>
  </si>
  <si>
    <t>08-02-2026</t>
  </si>
  <si>
    <t>ORD100046</t>
  </si>
  <si>
    <t>18-04-2026</t>
  </si>
  <si>
    <t>ORD100047</t>
  </si>
  <si>
    <t>21-04-2026</t>
  </si>
  <si>
    <t>ORD100048</t>
  </si>
  <si>
    <t>31-03-2026</t>
  </si>
  <si>
    <t>Meera</t>
  </si>
  <si>
    <t>ORD100049</t>
  </si>
  <si>
    <t>23-04-2026</t>
  </si>
  <si>
    <t>ORD100050</t>
  </si>
  <si>
    <t>10-04-2026</t>
  </si>
  <si>
    <t>Bluetooth Speaker</t>
  </si>
  <si>
    <t>ORD100051</t>
  </si>
  <si>
    <t>25-02-2026</t>
  </si>
  <si>
    <t>ORD100052</t>
  </si>
  <si>
    <t>ORD100053</t>
  </si>
  <si>
    <t>19-03-2026</t>
  </si>
  <si>
    <t>ORD100054</t>
  </si>
  <si>
    <t>20-01-2026</t>
  </si>
  <si>
    <t>ORD100055</t>
  </si>
  <si>
    <t>29-06-2026</t>
  </si>
  <si>
    <t>ORD100056</t>
  </si>
  <si>
    <t>22-01-2026</t>
  </si>
  <si>
    <t>ORD100057</t>
  </si>
  <si>
    <t>28-05-2026</t>
  </si>
  <si>
    <t>ORD100058</t>
  </si>
  <si>
    <t>10-01-2026</t>
  </si>
  <si>
    <t>ORD100059</t>
  </si>
  <si>
    <t>06-05-2026</t>
  </si>
  <si>
    <t>ORD100060</t>
  </si>
  <si>
    <t>ORD100061</t>
  </si>
  <si>
    <t>ORD100062</t>
  </si>
  <si>
    <t>06-01-2026</t>
  </si>
  <si>
    <t>ORD100063</t>
  </si>
  <si>
    <t>30-03-2026</t>
  </si>
  <si>
    <t>Rohan</t>
  </si>
  <si>
    <t>ORD100064</t>
  </si>
  <si>
    <t>ORD100065</t>
  </si>
  <si>
    <t>12-04-2026</t>
  </si>
  <si>
    <t>ORD100066</t>
  </si>
  <si>
    <t>ORD100067</t>
  </si>
  <si>
    <t>14-06-2026</t>
  </si>
  <si>
    <t>ORD100068</t>
  </si>
  <si>
    <t>ORD100069</t>
  </si>
  <si>
    <t>ORD100070</t>
  </si>
  <si>
    <t>29-05-2026</t>
  </si>
  <si>
    <t>ORD100071</t>
  </si>
  <si>
    <t>26-05-2026</t>
  </si>
  <si>
    <t>ORD100072</t>
  </si>
  <si>
    <t>03-04-2026</t>
  </si>
  <si>
    <t>ORD100073</t>
  </si>
  <si>
    <t>ORD100074</t>
  </si>
  <si>
    <t>27-02-2026</t>
  </si>
  <si>
    <t>ORD100075</t>
  </si>
  <si>
    <t>21-01-2026</t>
  </si>
  <si>
    <t>ORD100076</t>
  </si>
  <si>
    <t>02-02-2026</t>
  </si>
  <si>
    <t>ORD100077</t>
  </si>
  <si>
    <t>ORD100078</t>
  </si>
  <si>
    <t>22-04-2026</t>
  </si>
  <si>
    <t>ORD100079</t>
  </si>
  <si>
    <t>23-03-2026</t>
  </si>
  <si>
    <t>ORD100080</t>
  </si>
  <si>
    <t>ORD100081</t>
  </si>
  <si>
    <t>03-01-2026</t>
  </si>
  <si>
    <t>ORD100082</t>
  </si>
  <si>
    <t>07-06-2026</t>
  </si>
  <si>
    <t>ORD100083</t>
  </si>
  <si>
    <t>26-01-2026</t>
  </si>
  <si>
    <t>ORD100084</t>
  </si>
  <si>
    <t>05-03-2026</t>
  </si>
  <si>
    <t>ORD100085</t>
  </si>
  <si>
    <t>ORD100086</t>
  </si>
  <si>
    <t>17-02-2026</t>
  </si>
  <si>
    <t>ORD100087</t>
  </si>
  <si>
    <t>ORD100088</t>
  </si>
  <si>
    <t>18-01-2026</t>
  </si>
  <si>
    <t>ORD100089</t>
  </si>
  <si>
    <t>09-01-2026</t>
  </si>
  <si>
    <t>ORD100090</t>
  </si>
  <si>
    <t>16-05-2026</t>
  </si>
  <si>
    <t>ORD100091</t>
  </si>
  <si>
    <t>ORD100092</t>
  </si>
  <si>
    <t>16-03-2026</t>
  </si>
  <si>
    <t>ORD100093</t>
  </si>
  <si>
    <t>ORD100094</t>
  </si>
  <si>
    <t>01-01-2026</t>
  </si>
  <si>
    <t>ORD100095</t>
  </si>
  <si>
    <t>31-05-2026</t>
  </si>
  <si>
    <t>ORD100096</t>
  </si>
  <si>
    <t>13-01-2026</t>
  </si>
  <si>
    <t>ORD100097</t>
  </si>
  <si>
    <t>13-02-2026</t>
  </si>
  <si>
    <t>ORD100098</t>
  </si>
  <si>
    <t>ORD100099</t>
  </si>
  <si>
    <t>27-01-2026</t>
  </si>
  <si>
    <t>ORD100100</t>
  </si>
  <si>
    <t>ORD100101</t>
  </si>
  <si>
    <t>ORD100102</t>
  </si>
  <si>
    <t>08-01-2026</t>
  </si>
  <si>
    <t>ORD100103</t>
  </si>
  <si>
    <t>ORD100104</t>
  </si>
  <si>
    <t>ORD100105</t>
  </si>
  <si>
    <t>ORD100106</t>
  </si>
  <si>
    <t>26-03-2026</t>
  </si>
  <si>
    <t>ORD100107</t>
  </si>
  <si>
    <t>15-04-2026</t>
  </si>
  <si>
    <t>ORD100108</t>
  </si>
  <si>
    <t>ORD100109</t>
  </si>
  <si>
    <t>24-06-2026</t>
  </si>
  <si>
    <t>ORD100110</t>
  </si>
  <si>
    <t>ORD100111</t>
  </si>
  <si>
    <t>ORD100112</t>
  </si>
  <si>
    <t>ORD100113</t>
  </si>
  <si>
    <t>26-04-2026</t>
  </si>
  <si>
    <t>ORD100114</t>
  </si>
  <si>
    <t>28-03-2026</t>
  </si>
  <si>
    <t>ORD100115</t>
  </si>
  <si>
    <t>17-01-2026</t>
  </si>
  <si>
    <t>ORD100116</t>
  </si>
  <si>
    <t>ORD100117</t>
  </si>
  <si>
    <t>16-02-2026</t>
  </si>
  <si>
    <t>ORD100118</t>
  </si>
  <si>
    <t>22-03-2026</t>
  </si>
  <si>
    <t>ORD100119</t>
  </si>
  <si>
    <t>07-02-2026</t>
  </si>
  <si>
    <t>ORD100120</t>
  </si>
  <si>
    <t>ORD100121</t>
  </si>
  <si>
    <t>03-05-2026</t>
  </si>
  <si>
    <t>ORD100122</t>
  </si>
  <si>
    <t>11-04-2026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</si>
  <si>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</si>
  <si>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</si>
  <si>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</si>
  <si>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</si>
  <si>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</si>
  <si>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</si>
  <si>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</si>
  <si>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</si>
  <si>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</si>
  <si>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04-04-2026</t>
  </si>
  <si>
    <t>ORD100132</t>
  </si>
  <si>
    <t>06-04-2026</t>
  </si>
  <si>
    <t>ORD100133</t>
  </si>
  <si>
    <t>19-05-2026</t>
  </si>
  <si>
    <t>ORD100134</t>
  </si>
  <si>
    <t>12-02-2026</t>
  </si>
  <si>
    <t>ORD100135</t>
  </si>
  <si>
    <t>ORD100136</t>
  </si>
  <si>
    <t>02-01-2026</t>
  </si>
  <si>
    <t>ORD100137</t>
  </si>
  <si>
    <t>ORD100138</t>
  </si>
  <si>
    <t>02-06-2026</t>
  </si>
  <si>
    <t>ORD100139</t>
  </si>
  <si>
    <t>ORD100140</t>
  </si>
  <si>
    <t>ORD100141</t>
  </si>
  <si>
    <t>ORD100142</t>
  </si>
  <si>
    <t>ORD100143</t>
  </si>
  <si>
    <t>ORD100144</t>
  </si>
  <si>
    <t>15-02-2026</t>
  </si>
  <si>
    <t>ORD100145</t>
  </si>
  <si>
    <t>ORD100146</t>
  </si>
  <si>
    <t>ORD100147</t>
  </si>
  <si>
    <t>06-02-2026</t>
  </si>
  <si>
    <t>ORD100148</t>
  </si>
  <si>
    <t>25-03-2026</t>
  </si>
  <si>
    <t>ORD100149</t>
  </si>
  <si>
    <t>ORD100150</t>
  </si>
  <si>
    <t>ORD100151</t>
  </si>
  <si>
    <t>ORD100152</t>
  </si>
  <si>
    <t>30-05-2026</t>
  </si>
  <si>
    <t>ORD100153</t>
  </si>
  <si>
    <t>ORD100154</t>
  </si>
  <si>
    <t>ORD100155</t>
  </si>
  <si>
    <t>04-02-2026</t>
  </si>
  <si>
    <t>ORD100156</t>
  </si>
  <si>
    <t>ORD100157</t>
  </si>
  <si>
    <t>ORD100158</t>
  </si>
  <si>
    <t>24-05-2026</t>
  </si>
  <si>
    <t>ORD100159</t>
  </si>
  <si>
    <t>13-05-2026</t>
  </si>
  <si>
    <t>ORD100160</t>
  </si>
  <si>
    <t>ORD100161</t>
  </si>
  <si>
    <t>ORD100162</t>
  </si>
  <si>
    <t>05-02-2026</t>
  </si>
  <si>
    <t>ORD100163</t>
  </si>
  <si>
    <t>ORD100164</t>
  </si>
  <si>
    <t>14-03-2026</t>
  </si>
  <si>
    <t>ORD100165</t>
  </si>
  <si>
    <t>02-05-2026</t>
  </si>
  <si>
    <t>ORD100166</t>
  </si>
  <si>
    <t>ORD100167</t>
  </si>
  <si>
    <t>15-05-2026</t>
  </si>
  <si>
    <t>ORD100168</t>
  </si>
  <si>
    <t>ORD100169</t>
  </si>
  <si>
    <t>ORD100170</t>
  </si>
  <si>
    <t>20-02-2026</t>
  </si>
  <si>
    <t>ORD100171</t>
  </si>
  <si>
    <t>ORD100172</t>
  </si>
  <si>
    <t>ORD100173</t>
  </si>
  <si>
    <t>ORD100174</t>
  </si>
  <si>
    <t>ORD100175</t>
  </si>
  <si>
    <t>ORD100176</t>
  </si>
  <si>
    <t>04-05-2026</t>
  </si>
  <si>
    <t>ORD100177</t>
  </si>
  <si>
    <t>11-02-2026</t>
  </si>
  <si>
    <t>ORD100178</t>
  </si>
  <si>
    <t>09-02-2026</t>
  </si>
  <si>
    <t>ORD100179</t>
  </si>
  <si>
    <t>ORD100180</t>
  </si>
  <si>
    <t>24-02-2026</t>
  </si>
  <si>
    <t>ORD100181</t>
  </si>
  <si>
    <t>ORD100182</t>
  </si>
  <si>
    <t>ORD100183</t>
  </si>
  <si>
    <t>19-01-2026</t>
  </si>
  <si>
    <t>ORD100184</t>
  </si>
  <si>
    <t>ORD100185</t>
  </si>
  <si>
    <t>ORD100186</t>
  </si>
  <si>
    <t>ORD100187</t>
  </si>
  <si>
    <t>ORD100188</t>
  </si>
  <si>
    <t>ORD100189</t>
  </si>
  <si>
    <t>ORD100190</t>
  </si>
  <si>
    <t>11-03-2026</t>
  </si>
  <si>
    <t>ORD100191</t>
  </si>
  <si>
    <t>15-01-2026</t>
  </si>
  <si>
    <t>ORD100192</t>
  </si>
  <si>
    <t>19-06-2026</t>
  </si>
  <si>
    <t>ORD100193</t>
  </si>
  <si>
    <t>05-06-2026</t>
  </si>
  <si>
    <t>ORD100194</t>
  </si>
  <si>
    <t>09-04-2026</t>
  </si>
  <si>
    <t>ORD100195</t>
  </si>
  <si>
    <t>ORD100196</t>
  </si>
  <si>
    <t>ORD100197</t>
  </si>
  <si>
    <t>ORD100198</t>
  </si>
  <si>
    <t>ORD100199</t>
  </si>
  <si>
    <t>21-06-2026</t>
  </si>
  <si>
    <t>ORD100200</t>
  </si>
  <si>
    <t>09-06-2026</t>
  </si>
  <si>
    <t>ORD100201</t>
  </si>
  <si>
    <t>23-05-2026</t>
  </si>
  <si>
    <t>ORD100202</t>
  </si>
  <si>
    <t>ORD100203</t>
  </si>
  <si>
    <t>ORD100204</t>
  </si>
  <si>
    <t>05-04-2026</t>
  </si>
  <si>
    <t>ORD100205</t>
  </si>
  <si>
    <t>ORD100206</t>
  </si>
  <si>
    <t>30-01-2026</t>
  </si>
  <si>
    <t>ORD100207</t>
  </si>
  <si>
    <t>ORD100208</t>
  </si>
  <si>
    <t>ORD100209</t>
  </si>
  <si>
    <t>26-06-2026</t>
  </si>
  <si>
    <t>ORD100210</t>
  </si>
  <si>
    <t>ORD100211</t>
  </si>
  <si>
    <t>ORD100212</t>
  </si>
  <si>
    <t>18-02-2026</t>
  </si>
  <si>
    <t>ORD100213</t>
  </si>
  <si>
    <t>09-03-2026</t>
  </si>
  <si>
    <t>ORD100214</t>
  </si>
  <si>
    <t>ORD100215</t>
  </si>
  <si>
    <t>ORD100216</t>
  </si>
  <si>
    <t>ORD100217</t>
  </si>
  <si>
    <t>30-04-2026</t>
  </si>
  <si>
    <t>ORD100218</t>
  </si>
  <si>
    <t>12-05-2026</t>
  </si>
  <si>
    <t>ORD100219</t>
  </si>
  <si>
    <t>ORD100220</t>
  </si>
  <si>
    <t>ORD100221</t>
  </si>
  <si>
    <t>ORD100222</t>
  </si>
  <si>
    <t>ORD100223</t>
  </si>
  <si>
    <t>ORD100224</t>
  </si>
  <si>
    <t>ORD100225</t>
  </si>
  <si>
    <t>28-04-2026</t>
  </si>
  <si>
    <t>ORD100226</t>
  </si>
  <si>
    <t>ORD100227</t>
  </si>
  <si>
    <t>ORD100228</t>
  </si>
  <si>
    <t>ORD100229</t>
  </si>
  <si>
    <t>ORD100230</t>
  </si>
  <si>
    <t>08-04-2026</t>
  </si>
  <si>
    <t>ORD100231</t>
  </si>
  <si>
    <t>19-02-2026</t>
  </si>
  <si>
    <t>ORD100232</t>
  </si>
  <si>
    <t>ORD100233</t>
  </si>
  <si>
    <t>06-03-2026</t>
  </si>
  <si>
    <t>ORD100234</t>
  </si>
  <si>
    <t>ORD100235</t>
  </si>
  <si>
    <t>ORD100236</t>
  </si>
  <si>
    <t>ORD100237</t>
  </si>
  <si>
    <t>ORD100238</t>
  </si>
  <si>
    <t>ORD100239</t>
  </si>
  <si>
    <t>ORD100240</t>
  </si>
  <si>
    <t>29-04-2026</t>
  </si>
  <si>
    <t>ORD100241</t>
  </si>
  <si>
    <t>ORD100242</t>
  </si>
  <si>
    <t>20-05-2026</t>
  </si>
  <si>
    <t>ORD100243</t>
  </si>
  <si>
    <t>22-05-2026</t>
  </si>
  <si>
    <t>ORD100244</t>
  </si>
  <si>
    <t>ORD100245</t>
  </si>
  <si>
    <t>31-01-2026</t>
  </si>
  <si>
    <t>ORD100246</t>
  </si>
  <si>
    <t>ORD100247</t>
  </si>
  <si>
    <t>ORD100248</t>
  </si>
  <si>
    <t>ORD100249</t>
  </si>
  <si>
    <t>ORD100250</t>
  </si>
  <si>
    <t>ORD100251</t>
  </si>
  <si>
    <t>14-04-2026</t>
  </si>
  <si>
    <t>ORD100252</t>
  </si>
  <si>
    <t>07-04-2026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</si>
  <si>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</si>
  <si>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</si>
  <si>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</si>
  <si>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</si>
  <si>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</si>
  <si>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</si>
  <si>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</si>
  <si>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</si>
  <si>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</si>
  <si>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</si>
  <si>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</si>
  <si>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</si>
  <si>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18-06-2026</t>
  </si>
  <si>
    <t>ORD100265</t>
  </si>
  <si>
    <t>16-04-2026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</si>
  <si>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</si>
  <si>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</si>
  <si>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</si>
  <si>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</si>
  <si>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</si>
  <si>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</si>
  <si>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</si>
  <si>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</si>
  <si>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</si>
  <si>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</si>
  <si>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04-01-2026</t>
  </si>
  <si>
    <t>ORD100276</t>
  </si>
  <si>
    <t>27-04-2026</t>
  </si>
  <si>
    <t>ORD100277</t>
  </si>
  <si>
    <t>ORD100278</t>
  </si>
  <si>
    <t>ORD100279</t>
  </si>
  <si>
    <t>ORD100280</t>
  </si>
  <si>
    <t>ORD100281</t>
  </si>
  <si>
    <t>ORD100282</t>
  </si>
  <si>
    <t>01-03-2026</t>
  </si>
  <si>
    <t>ORD100283</t>
  </si>
  <si>
    <t>ORD100284</t>
  </si>
  <si>
    <t>ORD100285</t>
  </si>
  <si>
    <t>ORD100286</t>
  </si>
  <si>
    <t>ORD100287</t>
  </si>
  <si>
    <t>ORD100288</t>
  </si>
  <si>
    <t>ORD100289</t>
  </si>
  <si>
    <t>22-02-2026</t>
  </si>
  <si>
    <t>ORD100290</t>
  </si>
  <si>
    <t>ORD100291</t>
  </si>
  <si>
    <t>ORD100292</t>
  </si>
  <si>
    <t>ORD100293</t>
  </si>
  <si>
    <t>ORD100294</t>
  </si>
  <si>
    <t>14-05-2026</t>
  </si>
  <si>
    <t>ORD100295</t>
  </si>
  <si>
    <t>12-01-2026</t>
  </si>
  <si>
    <t>ORD100296</t>
  </si>
  <si>
    <t>18-03-2026</t>
  </si>
  <si>
    <t>ORD100297</t>
  </si>
  <si>
    <t>ORD100298</t>
  </si>
  <si>
    <t>ORD100299</t>
  </si>
  <si>
    <t>ORD100300</t>
  </si>
  <si>
    <t>29-03-2026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</si>
  <si>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</si>
  <si>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</si>
  <si>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</si>
  <si>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</si>
  <si>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</si>
  <si>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</si>
  <si>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</si>
  <si>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</si>
  <si>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</si>
  <si>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</si>
  <si>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</si>
  <si>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</si>
  <si>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</si>
  <si>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</si>
  <si>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</si>
  <si>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28-01-2026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</si>
  <si>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</si>
  <si>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</si>
  <si>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</si>
  <si>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</si>
  <si>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</si>
  <si>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</si>
  <si>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</si>
  <si>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</si>
  <si>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</si>
  <si>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</si>
  <si>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</si>
  <si>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</si>
  <si>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10-02-2026</t>
  </si>
  <si>
    <t>ORD100328</t>
  </si>
  <si>
    <t>ORD100329</t>
  </si>
  <si>
    <t>ORD100330</t>
  </si>
  <si>
    <t>ORD100331</t>
  </si>
  <si>
    <t>ORD100332</t>
  </si>
  <si>
    <t>ORD100333</t>
  </si>
  <si>
    <t>03-03-2026</t>
  </si>
  <si>
    <t>ORD100334</t>
  </si>
  <si>
    <t>ORD100335</t>
  </si>
  <si>
    <t>ORD100336</t>
  </si>
  <si>
    <t>24-01-2026</t>
  </si>
  <si>
    <t>ORD100337</t>
  </si>
  <si>
    <t>ORD100338</t>
  </si>
  <si>
    <t>ORD100339</t>
  </si>
  <si>
    <t>15-06-2026</t>
  </si>
  <si>
    <t>ORD100340</t>
  </si>
  <si>
    <t>ORD100341</t>
  </si>
  <si>
    <t>ORD100342</t>
  </si>
  <si>
    <t>ORD100343</t>
  </si>
  <si>
    <t>ORD100344</t>
  </si>
  <si>
    <t>ORD100345</t>
  </si>
  <si>
    <t>17-05-2026</t>
  </si>
  <si>
    <t>ORD100346</t>
  </si>
  <si>
    <t>ORD100347</t>
  </si>
  <si>
    <t>ORD100348</t>
  </si>
  <si>
    <t>ORD100349</t>
  </si>
  <si>
    <t>ORD100350</t>
  </si>
  <si>
    <t>ORD100351</t>
  </si>
  <si>
    <t>ORD100352</t>
  </si>
  <si>
    <t>17-03-2026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</si>
  <si>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</si>
  <si>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</si>
  <si>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</si>
  <si>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</si>
  <si>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</si>
  <si>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</si>
  <si>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</si>
  <si>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</si>
  <si>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</si>
  <si>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</si>
  <si>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01-06-2026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</si>
  <si>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</si>
  <si>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</si>
  <si>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</si>
  <si>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</si>
  <si>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</si>
  <si>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</si>
  <si>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</si>
  <si>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</si>
  <si>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</si>
  <si>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</si>
  <si>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04-06-2026</t>
  </si>
  <si>
    <t>ORD100373</t>
  </si>
  <si>
    <t>14-02-2026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</si>
  <si>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</si>
  <si>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</si>
  <si>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</si>
  <si>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</si>
  <si>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</si>
  <si>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</si>
  <si>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</si>
  <si>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</si>
  <si>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</si>
  <si>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</si>
  <si>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</si>
  <si>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</si>
  <si>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03-02-2026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</si>
  <si>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</si>
  <si>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</si>
  <si>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</si>
  <si>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</si>
  <si>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</si>
  <si>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</si>
  <si>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</si>
  <si>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</si>
  <si>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</si>
  <si>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</si>
  <si>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</si>
  <si>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</si>
  <si>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</si>
  <si>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</si>
  <si>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</si>
  <si>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</si>
  <si>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05-01-2026</t>
  </si>
  <si>
    <t>ORD100402</t>
  </si>
  <si>
    <t>ORD100403</t>
  </si>
  <si>
    <t>06-06-2026</t>
  </si>
  <si>
    <t>ORD100404</t>
  </si>
  <si>
    <t>ORD100405</t>
  </si>
  <si>
    <t>ORD100406</t>
  </si>
  <si>
    <t>ORD100407</t>
  </si>
  <si>
    <t>ORD100408</t>
  </si>
  <si>
    <t>ORD100409</t>
  </si>
  <si>
    <t>18-05-2026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</si>
  <si>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</si>
  <si>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</si>
  <si>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</si>
  <si>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</si>
  <si>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</si>
  <si>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</si>
  <si>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</si>
  <si>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</si>
  <si>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</si>
  <si>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</si>
  <si>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</si>
  <si>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</si>
  <si>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</si>
  <si>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</si>
  <si>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</si>
  <si>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</si>
  <si>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23-01-2026</t>
  </si>
  <si>
    <t>ORD100426</t>
  </si>
  <si>
    <t>ORD100427</t>
  </si>
  <si>
    <t>ORD100428</t>
  </si>
  <si>
    <t>ORD100429</t>
  </si>
  <si>
    <t>17-06-2026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</si>
  <si>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</si>
  <si>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</si>
  <si>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</si>
  <si>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</si>
  <si>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</si>
  <si>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</si>
  <si>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</si>
  <si>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</si>
  <si>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</si>
  <si>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</si>
  <si>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</si>
  <si>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</si>
  <si>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13-03-2026</t>
  </si>
  <si>
    <t>ORD100442</t>
  </si>
  <si>
    <t>ORD100443</t>
  </si>
  <si>
    <t>ORD100444</t>
  </si>
  <si>
    <t>ORD100445</t>
  </si>
  <si>
    <t>ORD100446</t>
  </si>
  <si>
    <t>ORD100447</t>
  </si>
  <si>
    <t>23-02-2026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</si>
  <si>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</si>
  <si>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</si>
  <si>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</si>
  <si>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</si>
  <si>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</si>
  <si>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</si>
  <si>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</si>
  <si>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</si>
  <si>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</si>
  <si>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</si>
  <si>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</si>
  <si>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</si>
  <si>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</si>
  <si>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</si>
  <si>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</si>
  <si>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</si>
  <si>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</si>
  <si>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</si>
  <si>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</si>
  <si>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</si>
  <si>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</si>
  <si>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</si>
  <si>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</si>
  <si>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</si>
  <si>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</si>
  <si>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</si>
  <si>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24-04-2026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</si>
  <si>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</si>
  <si>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</si>
  <si>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</si>
  <si>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</si>
  <si>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</si>
  <si>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</si>
  <si>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</si>
  <si>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</si>
  <si>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</si>
  <si>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</si>
  <si>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</si>
  <si>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</si>
  <si>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</si>
  <si>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</si>
  <si>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</si>
  <si>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</si>
  <si>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</si>
  <si>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</si>
  <si>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</si>
  <si>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</si>
  <si>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</si>
  <si>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</si>
  <si>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</si>
  <si>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</si>
  <si>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</si>
  <si>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</si>
  <si>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</si>
  <si>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</si>
  <si>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</si>
  <si>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</si>
  <si>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</si>
  <si>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</si>
  <si>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</si>
  <si>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</si>
  <si>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</si>
  <si>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17-04-2026</t>
  </si>
  <si>
    <t>ORD100509</t>
  </si>
  <si>
    <t>ORD100510</t>
  </si>
  <si>
    <t>10-03-2026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</si>
  <si>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</si>
  <si>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</si>
  <si>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</si>
  <si>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</si>
  <si>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</si>
  <si>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</si>
  <si>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</si>
  <si>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</si>
  <si>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</si>
  <si>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</si>
  <si>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</si>
  <si>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</si>
  <si>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</si>
  <si>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</si>
  <si>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</si>
  <si>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</si>
  <si>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</si>
  <si>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</si>
  <si>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</si>
  <si>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</si>
  <si>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</si>
  <si>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</si>
  <si>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</si>
  <si>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</si>
  <si>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</si>
  <si>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</si>
  <si>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</si>
  <si>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</si>
  <si>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</si>
  <si>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</si>
  <si>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</si>
  <si>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</si>
  <si>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</si>
  <si>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</si>
  <si>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</si>
  <si>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</si>
  <si>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</si>
  <si>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</si>
  <si>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</si>
  <si>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</si>
  <si>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</si>
  <si>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</si>
  <si>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</si>
  <si>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</si>
  <si>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</si>
  <si>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</si>
  <si>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</si>
  <si>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</si>
  <si>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</si>
  <si>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</si>
  <si>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</si>
  <si>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</si>
  <si>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</si>
  <si>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</si>
  <si>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</si>
  <si>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</si>
  <si>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</si>
  <si>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</si>
  <si>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</si>
  <si>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</si>
  <si>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</si>
  <si>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</si>
  <si>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</si>
  <si>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</si>
  <si>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</si>
  <si>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</si>
  <si>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</si>
  <si>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</si>
  <si>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</si>
  <si>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</si>
  <si>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</si>
  <si>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</si>
  <si>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</si>
  <si>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</si>
  <si>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</si>
  <si>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</si>
  <si>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</si>
  <si>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</si>
  <si>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</si>
  <si>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</si>
  <si>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</si>
  <si>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</si>
  <si>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</si>
  <si>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</si>
  <si>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</si>
  <si>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</si>
  <si>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</si>
  <si>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</si>
  <si>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</si>
  <si>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</si>
  <si>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</si>
  <si>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</si>
  <si>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</si>
  <si>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</si>
  <si>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</si>
  <si>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</si>
  <si>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</si>
  <si>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</si>
  <si>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</si>
  <si>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</si>
  <si>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</si>
  <si>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</si>
  <si>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</si>
  <si>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</si>
  <si>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</si>
  <si>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</si>
  <si>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</si>
  <si>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</si>
  <si>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</si>
  <si>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</si>
  <si>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</si>
  <si>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</si>
  <si>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</si>
  <si>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</si>
  <si>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</si>
  <si>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</si>
  <si>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</si>
  <si>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</si>
  <si>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</si>
  <si>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</si>
  <si>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</si>
  <si>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</si>
  <si>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</si>
  <si>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</si>
  <si>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</si>
  <si>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</si>
  <si>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</si>
  <si>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</si>
  <si>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</si>
  <si>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</si>
  <si>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</si>
  <si>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</si>
  <si>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</si>
  <si>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</si>
  <si>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</si>
  <si>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</si>
  <si>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</si>
  <si>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20-04-2026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</si>
  <si>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</si>
  <si>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</si>
  <si>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</si>
  <si>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</si>
  <si>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</si>
  <si>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</si>
  <si>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</si>
  <si>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</si>
  <si>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</si>
  <si>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</si>
  <si>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</si>
  <si>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</si>
  <si>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</si>
  <si>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</si>
  <si>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</si>
  <si>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</si>
  <si>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</si>
  <si>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</si>
  <si>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</si>
  <si>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</si>
  <si>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</si>
  <si>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</si>
  <si>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</si>
  <si>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</si>
  <si>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</si>
  <si>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</si>
  <si>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</si>
  <si>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</si>
  <si>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</si>
  <si>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</si>
  <si>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</si>
  <si>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</si>
  <si>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</si>
  <si>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</si>
  <si>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</si>
  <si>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</si>
  <si>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</si>
  <si>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</si>
  <si>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28-06-2026</t>
  </si>
  <si>
    <t>ORD100686</t>
  </si>
  <si>
    <t>ORD100687</t>
  </si>
  <si>
    <t>ORD100688</t>
  </si>
  <si>
    <t>ORD100689</t>
  </si>
  <si>
    <t>ORD100690</t>
  </si>
  <si>
    <t>ORD100691</t>
  </si>
  <si>
    <t>ORD100692</t>
  </si>
  <si>
    <t>01-02-2026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</si>
  <si>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</si>
  <si>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</si>
  <si>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</si>
  <si>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</si>
  <si>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</si>
  <si>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</si>
  <si>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</si>
  <si>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</si>
  <si>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</si>
  <si>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</si>
  <si>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</si>
  <si>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</si>
  <si>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</si>
  <si>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</si>
  <si>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</si>
  <si>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</si>
  <si>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</si>
  <si>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</si>
  <si>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</si>
  <si>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</si>
  <si>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</si>
  <si>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</si>
  <si>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</si>
  <si>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</si>
  <si>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</si>
  <si>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</si>
  <si>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</si>
  <si>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</si>
  <si>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</si>
  <si>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</si>
  <si>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</si>
  <si>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</si>
  <si>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</si>
  <si>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</si>
  <si>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</si>
  <si>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</si>
  <si>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</si>
  <si>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</si>
  <si>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</si>
  <si>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</si>
  <si>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</si>
  <si>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</si>
  <si>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</si>
  <si>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</si>
  <si>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</si>
  <si>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</si>
  <si>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</si>
  <si>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</si>
  <si>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</si>
  <si>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</si>
  <si>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</si>
  <si>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</si>
  <si>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</si>
  <si>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</si>
  <si>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</si>
  <si>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</si>
  <si>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</si>
  <si>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</si>
  <si>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</si>
  <si>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</si>
  <si>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</si>
  <si>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</si>
  <si>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</si>
  <si>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</si>
  <si>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</si>
  <si>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</si>
  <si>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</si>
  <si>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</si>
  <si>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</si>
  <si>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</si>
  <si>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</si>
  <si>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</si>
  <si>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</si>
  <si>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</si>
  <si>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</si>
  <si>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</si>
  <si>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</si>
  <si>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05-05-2026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</si>
  <si>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</si>
  <si>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</si>
  <si>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</si>
  <si>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</si>
  <si>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</si>
  <si>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</si>
  <si>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</si>
  <si>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</si>
  <si>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</si>
  <si>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</si>
  <si>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</si>
  <si>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</si>
  <si>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</si>
  <si>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</si>
  <si>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</si>
  <si>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</si>
  <si>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</si>
  <si>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</si>
  <si>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</si>
  <si>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</si>
  <si>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</si>
  <si>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</si>
  <si>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</si>
  <si>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</si>
  <si>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</si>
  <si>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</si>
  <si>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</si>
  <si>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</si>
  <si>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</si>
  <si>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</si>
  <si>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</si>
  <si>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</si>
  <si>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</si>
  <si>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</si>
  <si>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</si>
  <si>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</si>
  <si>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</si>
  <si>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</si>
  <si>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</si>
  <si>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</si>
  <si>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</si>
  <si>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</si>
  <si>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</si>
  <si>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</si>
  <si>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</si>
  <si>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</si>
  <si>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</si>
  <si>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</si>
  <si>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</si>
  <si>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</si>
  <si>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</si>
  <si>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</si>
  <si>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</si>
  <si>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</si>
  <si>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</si>
  <si>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</si>
  <si>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</si>
  <si>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</si>
  <si>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</si>
  <si>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</si>
  <si>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11-06-2026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</si>
  <si>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</si>
  <si>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</si>
  <si>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</si>
  <si>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</si>
  <si>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</si>
  <si>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</si>
  <si>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</si>
  <si>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</si>
  <si>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</si>
  <si>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</si>
  <si>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</si>
  <si>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</si>
  <si>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</si>
  <si>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</si>
  <si>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</si>
  <si>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</si>
  <si>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</si>
  <si>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</si>
  <si>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</si>
  <si>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</si>
  <si>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</si>
  <si>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</si>
  <si>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</si>
  <si>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</si>
  <si>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</si>
  <si>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</si>
  <si>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</si>
  <si>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</si>
  <si>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</si>
  <si>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</si>
  <si>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</si>
  <si>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</si>
  <si>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</si>
  <si>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</si>
  <si>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</si>
  <si>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</si>
  <si>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</si>
  <si>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</si>
  <si>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</si>
  <si>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</si>
  <si>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28-02-2026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</si>
  <si>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</si>
  <si>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</si>
  <si>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</si>
  <si>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</si>
  <si>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</si>
  <si>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</si>
  <si>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</si>
  <si>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</si>
  <si>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</si>
  <si>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</si>
  <si>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</si>
  <si>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10-06-2026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</si>
  <si>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</si>
  <si>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</si>
  <si>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</si>
  <si>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</si>
  <si>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</si>
  <si>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</si>
  <si>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</si>
  <si>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</si>
  <si>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</si>
  <si>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</si>
  <si>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</si>
  <si>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</si>
  <si>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</si>
  <si>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</si>
  <si>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</si>
  <si>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</si>
  <si>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</si>
  <si>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</si>
  <si>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</si>
  <si>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</si>
  <si>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</si>
  <si>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</si>
  <si>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</si>
  <si>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</si>
  <si>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</si>
  <si>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</si>
  <si>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</si>
  <si>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</si>
  <si>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</si>
  <si>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</si>
  <si>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</si>
  <si>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</si>
  <si>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</si>
  <si>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</si>
  <si>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</si>
  <si>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</si>
  <si>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</si>
  <si>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</si>
  <si>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</si>
  <si>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</si>
  <si>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</si>
  <si>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</si>
  <si>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</si>
  <si>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</si>
  <si>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</si>
  <si>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</si>
  <si>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</si>
  <si>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</si>
  <si>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</si>
  <si>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</si>
  <si>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</si>
  <si>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</si>
  <si>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</si>
  <si>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</si>
  <si>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</si>
  <si>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</si>
  <si>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</si>
  <si>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</si>
  <si>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</si>
  <si>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11-01-2026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</si>
  <si>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</si>
  <si>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</si>
  <si>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</si>
  <si>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</si>
  <si>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</si>
  <si>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</si>
  <si>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</si>
  <si>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</si>
  <si>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</si>
  <si>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</si>
  <si>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</si>
  <si>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</si>
  <si>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</si>
  <si>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</si>
  <si>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</si>
  <si>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</si>
  <si>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</si>
  <si>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</si>
  <si>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</si>
  <si>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</si>
  <si>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</si>
  <si>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</si>
  <si>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</si>
  <si>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</si>
  <si>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</si>
  <si>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</si>
  <si>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</si>
  <si>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</si>
  <si>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</si>
  <si>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</si>
  <si>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</si>
  <si>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</si>
  <si>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</si>
  <si>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</si>
  <si>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</si>
  <si>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</si>
  <si>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</si>
  <si>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</si>
  <si>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</si>
  <si>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</si>
  <si>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</si>
  <si>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</si>
  <si>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</si>
  <si>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</si>
  <si>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</si>
  <si>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</si>
  <si>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</si>
  <si>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</si>
  <si>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</si>
  <si>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</si>
  <si>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</si>
  <si>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</si>
  <si>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</si>
  <si>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</si>
  <si>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</si>
  <si>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</si>
  <si>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</si>
  <si>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</si>
  <si>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</si>
  <si>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</si>
  <si>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</si>
  <si>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</si>
  <si>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Month</t>
  </si>
  <si>
    <t>Day</t>
  </si>
  <si>
    <t>Row Labels</t>
  </si>
  <si>
    <t>Sum of Total Sales</t>
  </si>
  <si>
    <t>Grand Total</t>
  </si>
  <si>
    <t>Count of Order ID</t>
  </si>
  <si>
    <t>Jan</t>
  </si>
  <si>
    <t>Feb</t>
  </si>
  <si>
    <t>Mar</t>
  </si>
  <si>
    <t>Apr</t>
  </si>
  <si>
    <t>May</t>
  </si>
  <si>
    <t>Jun</t>
  </si>
  <si>
    <t>Sum of Quantity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</si>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</sst>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C3DC30"/>
      <color rgb="00ED8311"/>
      <color rgb="00F2A048"/>
      <color rgb="00E2BD58"/>
      <color rgb="00FF99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4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[Amazon_Sales_Dataset_1000_Orders.xlsx]pivote!PivotTable7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Order Status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996484736355227"/>
          <c:y val="0.331560888448533"/>
          <c:w val="0.714597594819611"/>
          <c:h val="0.41903945809435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pivote!$B$46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pivote!$A$47:$A$50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</c:strCache>
            </c:strRef>
          </c:cat>
          <c:val>
            <c:numRef>
              <c:f>pivote!$B$47:$B$50</c:f>
              <c:numCache>
                <c:formatCode>General</c:formatCode>
                <c:ptCount val="3"/>
                <c:pt idx="0">
                  <c:v>117</c:v>
                </c:pt>
                <c:pt idx="1">
                  <c:v>681</c:v>
                </c:pt>
                <c:pt idx="2">
                  <c:v>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3546207"/>
        <c:axId val="1130286991"/>
      </c:barChart>
      <c:catAx>
        <c:axId val="23546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286991"/>
        <c:crosses val="autoZero"/>
        <c:auto val="1"/>
        <c:lblAlgn val="ctr"/>
        <c:lblOffset val="100"/>
        <c:noMultiLvlLbl val="0"/>
      </c:catAx>
      <c:valAx>
        <c:axId val="1130286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546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c13605b-acc5-4e5a-8d21-b4a781f62ee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[Amazon_Sales_Dataset_1000_Orders.xlsx]pivote!PivotTable4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Monthly Sales</a:t>
            </a:r>
            <a:endParaRPr sz="1100" b="1"/>
          </a:p>
        </c:rich>
      </c:tx>
      <c:layout>
        <c:manualLayout>
          <c:xMode val="edge"/>
          <c:yMode val="edge"/>
          <c:x val="0.339476594176189"/>
          <c:y val="0.03824163640587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pivote!$D$8:$D$20</c:f>
              <c:strCache>
                <c:ptCount val="12"/>
                <c:pt idx="0">
                  <c:v>Ahmedabad</c:v>
                </c:pt>
                <c:pt idx="1">
                  <c:v>Bengaluru</c:v>
                </c:pt>
                <c:pt idx="2">
                  <c:v>Chennai</c:v>
                </c:pt>
                <c:pt idx="3">
                  <c:v>Delhi</c:v>
                </c:pt>
                <c:pt idx="4">
                  <c:v>Hyderabad</c:v>
                </c:pt>
                <c:pt idx="5">
                  <c:v>Indore</c:v>
                </c:pt>
                <c:pt idx="6">
                  <c:v>Jaipur</c:v>
                </c:pt>
                <c:pt idx="7">
                  <c:v>Kolkata</c:v>
                </c:pt>
                <c:pt idx="8">
                  <c:v>Lucknow</c:v>
                </c:pt>
                <c:pt idx="9">
                  <c:v>Mumbai</c:v>
                </c:pt>
                <c:pt idx="10">
                  <c:v>Nagpur</c:v>
                </c:pt>
                <c:pt idx="11">
                  <c:v>Pune</c:v>
                </c:pt>
              </c:strCache>
            </c:strRef>
          </c:cat>
          <c:val>
            <c:numRef>
              <c:f>pivote!$E$8:$E$20</c:f>
              <c:numCache>
                <c:formatCode>General</c:formatCode>
                <c:ptCount val="12"/>
                <c:pt idx="0">
                  <c:v>501312</c:v>
                </c:pt>
                <c:pt idx="1">
                  <c:v>422251</c:v>
                </c:pt>
                <c:pt idx="2">
                  <c:v>344288</c:v>
                </c:pt>
                <c:pt idx="3">
                  <c:v>461355</c:v>
                </c:pt>
                <c:pt idx="4">
                  <c:v>439427</c:v>
                </c:pt>
                <c:pt idx="5">
                  <c:v>373459</c:v>
                </c:pt>
                <c:pt idx="6">
                  <c:v>514502</c:v>
                </c:pt>
                <c:pt idx="7">
                  <c:v>405660</c:v>
                </c:pt>
                <c:pt idx="8">
                  <c:v>380982</c:v>
                </c:pt>
                <c:pt idx="9">
                  <c:v>348208</c:v>
                </c:pt>
                <c:pt idx="10">
                  <c:v>469917</c:v>
                </c:pt>
                <c:pt idx="11">
                  <c:v>485632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25548655"/>
        <c:axId val="1130316751"/>
      </c:barChart>
      <c:catAx>
        <c:axId val="1125548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316751"/>
        <c:crosses val="autoZero"/>
        <c:auto val="1"/>
        <c:lblAlgn val="ctr"/>
        <c:lblOffset val="100"/>
        <c:noMultiLvlLbl val="0"/>
      </c:catAx>
      <c:valAx>
        <c:axId val="1130316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25548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92de16-7c57-4390-baf7-8a6e032e367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[Amazon_Sales_Dataset_1000_Orders.xlsx]pivote!PivotTable5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Category Sales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7909974251321"/>
          <c:y val="0.326836365281926"/>
          <c:w val="0.684769681304068"/>
          <c:h val="0.24285908226988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pivote!$B$24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pivote!$A$25:$A$40</c:f>
              <c:strCache>
                <c:ptCount val="15"/>
                <c:pt idx="0">
                  <c:v>Backpack</c:v>
                </c:pt>
                <c:pt idx="1">
                  <c:v>Bluetooth Speaker</c:v>
                </c:pt>
                <c:pt idx="2">
                  <c:v>Coffee Mug</c:v>
                </c:pt>
                <c:pt idx="3">
                  <c:v>Headphones</c:v>
                </c:pt>
                <c:pt idx="4">
                  <c:v>Jeans</c:v>
                </c:pt>
                <c:pt idx="5">
                  <c:v>Keyboard</c:v>
                </c:pt>
                <c:pt idx="6">
                  <c:v>Notebook</c:v>
                </c:pt>
                <c:pt idx="7">
                  <c:v>Office Chair</c:v>
                </c:pt>
                <c:pt idx="8">
                  <c:v>Power Bank</c:v>
                </c:pt>
                <c:pt idx="9">
                  <c:v>Running Shoes</c:v>
                </c:pt>
                <c:pt idx="10">
                  <c:v>Smart Watch</c:v>
                </c:pt>
                <c:pt idx="11">
                  <c:v>Sports Bottle</c:v>
                </c:pt>
                <c:pt idx="12">
                  <c:v>T-Shirt</c:v>
                </c:pt>
                <c:pt idx="13">
                  <c:v>Water Bottle</c:v>
                </c:pt>
                <c:pt idx="14">
                  <c:v>Wireless Mouse</c:v>
                </c:pt>
              </c:strCache>
            </c:strRef>
          </c:cat>
          <c:val>
            <c:numRef>
              <c:f>pivote!$B$25:$B$40</c:f>
              <c:numCache>
                <c:formatCode>General</c:formatCode>
                <c:ptCount val="15"/>
                <c:pt idx="0">
                  <c:v>323784</c:v>
                </c:pt>
                <c:pt idx="1">
                  <c:v>383187</c:v>
                </c:pt>
                <c:pt idx="2">
                  <c:v>72657</c:v>
                </c:pt>
                <c:pt idx="3">
                  <c:v>343828</c:v>
                </c:pt>
                <c:pt idx="4">
                  <c:v>436527</c:v>
                </c:pt>
                <c:pt idx="5">
                  <c:v>263697</c:v>
                </c:pt>
                <c:pt idx="6">
                  <c:v>31641</c:v>
                </c:pt>
                <c:pt idx="7">
                  <c:v>1132794</c:v>
                </c:pt>
                <c:pt idx="8">
                  <c:v>206541</c:v>
                </c:pt>
                <c:pt idx="9">
                  <c:v>472311</c:v>
                </c:pt>
                <c:pt idx="10">
                  <c:v>943764</c:v>
                </c:pt>
                <c:pt idx="11">
                  <c:v>168113</c:v>
                </c:pt>
                <c:pt idx="12">
                  <c:v>124422</c:v>
                </c:pt>
                <c:pt idx="13">
                  <c:v>90319</c:v>
                </c:pt>
                <c:pt idx="14">
                  <c:v>153408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9039023"/>
        <c:axId val="1130324911"/>
      </c:barChart>
      <c:catAx>
        <c:axId val="109039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324911"/>
        <c:crosses val="autoZero"/>
        <c:auto val="1"/>
        <c:lblAlgn val="ctr"/>
        <c:lblOffset val="100"/>
        <c:noMultiLvlLbl val="0"/>
      </c:catAx>
      <c:valAx>
        <c:axId val="1130324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9039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a138be-1923-4954-85af-7a1571b2e2c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[Amazon_Sales_Dataset_1000_Orders.xlsx]pivote!PivotTable6</c:name>
    <c:fmtId val="3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Payment Method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pivote!$G$23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>
                  <a:shade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>
                  <a:shade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1">
                  <a:tint val="76667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1">
                  <a:tint val="53333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pivote!$F$24:$F$29</c:f>
              <c:strCache>
                <c:ptCount val="5"/>
                <c:pt idx="0">
                  <c:v>Cash on Delivery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UPI</c:v>
                </c:pt>
              </c:strCache>
            </c:strRef>
          </c:cat>
          <c:val>
            <c:numRef>
              <c:f>pivote!$G$24:$G$29</c:f>
              <c:numCache>
                <c:formatCode>General</c:formatCode>
                <c:ptCount val="5"/>
                <c:pt idx="0">
                  <c:v>196</c:v>
                </c:pt>
                <c:pt idx="1">
                  <c:v>186</c:v>
                </c:pt>
                <c:pt idx="2">
                  <c:v>229</c:v>
                </c:pt>
                <c:pt idx="3">
                  <c:v>198</c:v>
                </c:pt>
                <c:pt idx="4">
                  <c:v>191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01516a-0a13-473f-9e5b-9b31d786409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[Amazon_Sales_Dataset_1000_Orders.xlsx]pivote!PivotTable7</c:name>
    <c:fmtId val="7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/>
              <a:t>Orders by Status</a:t>
            </a:r>
            <a:endParaRPr sz="1100"/>
          </a:p>
        </c:rich>
      </c:tx>
      <c:layout>
        <c:manualLayout>
          <c:xMode val="edge"/>
          <c:yMode val="edge"/>
          <c:x val="0.364994567185802"/>
          <c:y val="0.032238131927258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pivote!$B$46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>
                  <a:shade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1">
                  <a:tint val="65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pivote!$A$47:$A$50</c:f>
              <c:strCache>
                <c:ptCount val="3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</c:strCache>
            </c:strRef>
          </c:cat>
          <c:val>
            <c:numRef>
              <c:f>pivote!$B$47:$B$50</c:f>
              <c:numCache>
                <c:formatCode>General</c:formatCode>
                <c:ptCount val="3"/>
                <c:pt idx="0">
                  <c:v>117</c:v>
                </c:pt>
                <c:pt idx="1">
                  <c:v>681</c:v>
                </c:pt>
                <c:pt idx="2">
                  <c:v>202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66ee107-c919-4509-94a4-623c806a32e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[Amazon_Sales_Dataset_1000_Orders.xlsx]pivote!PivotTable8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Monthly Sales Trend</a:t>
            </a:r>
            <a:endParaRPr sz="1100" b="1"/>
          </a:p>
        </c:rich>
      </c:tx>
      <c:layout>
        <c:manualLayout>
          <c:xMode val="edge"/>
          <c:yMode val="edge"/>
          <c:x val="0.360032266592622"/>
          <c:y val="0.0402485611770755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pivote!$F$46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pivote!$E$47:$E$53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pivote!$F$47:$F$53</c:f>
              <c:numCache>
                <c:formatCode>General</c:formatCode>
                <c:ptCount val="6"/>
                <c:pt idx="0">
                  <c:v>1005510</c:v>
                </c:pt>
                <c:pt idx="1">
                  <c:v>700290</c:v>
                </c:pt>
                <c:pt idx="2">
                  <c:v>955026</c:v>
                </c:pt>
                <c:pt idx="3">
                  <c:v>821108</c:v>
                </c:pt>
                <c:pt idx="4">
                  <c:v>782448</c:v>
                </c:pt>
                <c:pt idx="5">
                  <c:v>882611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803791"/>
        <c:axId val="1130265391"/>
      </c:lineChart>
      <c:catAx>
        <c:axId val="137803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265391"/>
        <c:crosses val="autoZero"/>
        <c:auto val="1"/>
        <c:lblAlgn val="ctr"/>
        <c:lblOffset val="100"/>
        <c:noMultiLvlLbl val="0"/>
      </c:catAx>
      <c:valAx>
        <c:axId val="113026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7803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1bd24a5-2ea1-4cb5-8316-b65a3fd6d42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[Amazon_Sales_Dataset_1000_Orders.xlsx]pivote!PivotTable9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Quantity by Category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pivote!$B$58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pivote!$A$59:$A$67</c:f>
              <c:strCache>
                <c:ptCount val="8"/>
                <c:pt idx="0">
                  <c:v>Bags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Footwear</c:v>
                </c:pt>
                <c:pt idx="4">
                  <c:v>Furniture</c:v>
                </c:pt>
                <c:pt idx="5">
                  <c:v>Home</c:v>
                </c:pt>
                <c:pt idx="6">
                  <c:v>Sports</c:v>
                </c:pt>
                <c:pt idx="7">
                  <c:v>Stationery</c:v>
                </c:pt>
              </c:strCache>
            </c:strRef>
          </c:cat>
          <c:val>
            <c:numRef>
              <c:f>pivote!$B$59:$B$67</c:f>
              <c:numCache>
                <c:formatCode>General</c:formatCode>
                <c:ptCount val="8"/>
                <c:pt idx="0">
                  <c:v>216</c:v>
                </c:pt>
                <c:pt idx="1">
                  <c:v>451</c:v>
                </c:pt>
                <c:pt idx="2">
                  <c:v>1175</c:v>
                </c:pt>
                <c:pt idx="3">
                  <c:v>189</c:v>
                </c:pt>
                <c:pt idx="4">
                  <c:v>206</c:v>
                </c:pt>
                <c:pt idx="5">
                  <c:v>424</c:v>
                </c:pt>
                <c:pt idx="6">
                  <c:v>187</c:v>
                </c:pt>
                <c:pt idx="7">
                  <c:v>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29471"/>
        <c:axId val="1130254351"/>
      </c:barChart>
      <c:catAx>
        <c:axId val="11642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254351"/>
        <c:crosses val="autoZero"/>
        <c:auto val="1"/>
        <c:lblAlgn val="ctr"/>
        <c:lblOffset val="100"/>
        <c:noMultiLvlLbl val="0"/>
      </c:catAx>
      <c:valAx>
        <c:axId val="1130254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429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f41ae07-3f55-48c9-8fe1-023b369e4f0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[Amazon_Sales_Dataset_1000_Orders.xlsx]pivote!PivotTable10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100" b="1"/>
              <a:t>Quantity by Product</a:t>
            </a:r>
            <a:endParaRPr sz="11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pivote!$F$58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elete val="1"/>
          </c:dLbls>
          <c:cat>
            <c:strRef>
              <c:f>pivote!$E$59:$E$74</c:f>
              <c:strCache>
                <c:ptCount val="15"/>
                <c:pt idx="0">
                  <c:v>Backpack</c:v>
                </c:pt>
                <c:pt idx="1">
                  <c:v>Bluetooth Speaker</c:v>
                </c:pt>
                <c:pt idx="2">
                  <c:v>Coffee Mug</c:v>
                </c:pt>
                <c:pt idx="3">
                  <c:v>Headphones</c:v>
                </c:pt>
                <c:pt idx="4">
                  <c:v>Jeans</c:v>
                </c:pt>
                <c:pt idx="5">
                  <c:v>Keyboard</c:v>
                </c:pt>
                <c:pt idx="6">
                  <c:v>Notebook</c:v>
                </c:pt>
                <c:pt idx="7">
                  <c:v>Office Chair</c:v>
                </c:pt>
                <c:pt idx="8">
                  <c:v>Power Bank</c:v>
                </c:pt>
                <c:pt idx="9">
                  <c:v>Running Shoes</c:v>
                </c:pt>
                <c:pt idx="10">
                  <c:v>Smart Watch</c:v>
                </c:pt>
                <c:pt idx="11">
                  <c:v>Sports Bottle</c:v>
                </c:pt>
                <c:pt idx="12">
                  <c:v>T-Shirt</c:v>
                </c:pt>
                <c:pt idx="13">
                  <c:v>Water Bottle</c:v>
                </c:pt>
                <c:pt idx="14">
                  <c:v>Wireless Mouse</c:v>
                </c:pt>
              </c:strCache>
            </c:strRef>
          </c:cat>
          <c:val>
            <c:numRef>
              <c:f>pivote!$F$59:$F$74</c:f>
              <c:numCache>
                <c:formatCode>General</c:formatCode>
                <c:ptCount val="15"/>
                <c:pt idx="0">
                  <c:v>216</c:v>
                </c:pt>
                <c:pt idx="1">
                  <c:v>213</c:v>
                </c:pt>
                <c:pt idx="2">
                  <c:v>243</c:v>
                </c:pt>
                <c:pt idx="3">
                  <c:v>172</c:v>
                </c:pt>
                <c:pt idx="4">
                  <c:v>273</c:v>
                </c:pt>
                <c:pt idx="5">
                  <c:v>203</c:v>
                </c:pt>
                <c:pt idx="6">
                  <c:v>159</c:v>
                </c:pt>
                <c:pt idx="7">
                  <c:v>206</c:v>
                </c:pt>
                <c:pt idx="8">
                  <c:v>159</c:v>
                </c:pt>
                <c:pt idx="9">
                  <c:v>189</c:v>
                </c:pt>
                <c:pt idx="10">
                  <c:v>236</c:v>
                </c:pt>
                <c:pt idx="11">
                  <c:v>187</c:v>
                </c:pt>
                <c:pt idx="12">
                  <c:v>178</c:v>
                </c:pt>
                <c:pt idx="13">
                  <c:v>181</c:v>
                </c:pt>
                <c:pt idx="14">
                  <c:v>192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9757999"/>
        <c:axId val="1130216911"/>
      </c:barChart>
      <c:catAx>
        <c:axId val="149757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0216911"/>
        <c:crosses val="autoZero"/>
        <c:auto val="1"/>
        <c:lblAlgn val="ctr"/>
        <c:lblOffset val="100"/>
        <c:noMultiLvlLbl val="0"/>
      </c:catAx>
      <c:valAx>
        <c:axId val="1130216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9757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a86cafc-3167-4f88-9783-af7d5a5a3e3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  <a:scene3d>
        <a:camera prst="orthographicFront"/>
        <a:lightRig rig="threePt" dir="t"/>
      </a:scene3d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46355</xdr:colOff>
      <xdr:row>0</xdr:row>
      <xdr:rowOff>40640</xdr:rowOff>
    </xdr:from>
    <xdr:to>
      <xdr:col>26</xdr:col>
      <xdr:colOff>20955</xdr:colOff>
      <xdr:row>3</xdr:row>
      <xdr:rowOff>108585</xdr:rowOff>
    </xdr:to>
    <xdr:sp>
      <xdr:nvSpPr>
        <xdr:cNvPr id="2" name="Rectangle 1"/>
        <xdr:cNvSpPr/>
      </xdr:nvSpPr>
      <xdr:spPr>
        <a:xfrm>
          <a:off x="46355" y="40640"/>
          <a:ext cx="15824200" cy="616585"/>
        </a:xfrm>
        <a:prstGeom prst="rect">
          <a:avLst/>
        </a:prstGeom>
        <a:solidFill>
          <a:schemeClr val="accent1">
            <a:lumMod val="75000"/>
          </a:schemeClr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0"/>
        <a:lstStyle/>
        <a:p>
          <a:pPr algn="ctr"/>
          <a:r>
            <a:rPr lang="en-GB" sz="2400">
              <a:solidFill>
                <a:schemeClr val="bg1"/>
              </a:solidFill>
              <a:latin typeface="Arial Black" panose="020B0A04020102020204" pitchFamily="34" charset="0"/>
            </a:rPr>
            <a:t>AMAZON SALES DASHBOARD</a:t>
          </a:r>
          <a:endParaRPr lang="en-GB" sz="2400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0</xdr:col>
      <xdr:colOff>10160</xdr:colOff>
      <xdr:row>8</xdr:row>
      <xdr:rowOff>18415</xdr:rowOff>
    </xdr:from>
    <xdr:to>
      <xdr:col>5</xdr:col>
      <xdr:colOff>387350</xdr:colOff>
      <xdr:row>20</xdr:row>
      <xdr:rowOff>114300</xdr:rowOff>
    </xdr:to>
    <xdr:graphicFrame>
      <xdr:nvGraphicFramePr>
        <xdr:cNvPr id="5" name="Chart 4"/>
        <xdr:cNvGraphicFramePr/>
      </xdr:nvGraphicFramePr>
      <xdr:xfrm>
        <a:off x="10160" y="1481455"/>
        <a:ext cx="3425190" cy="22904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441325</xdr:colOff>
      <xdr:row>8</xdr:row>
      <xdr:rowOff>15240</xdr:rowOff>
    </xdr:from>
    <xdr:to>
      <xdr:col>11</xdr:col>
      <xdr:colOff>229235</xdr:colOff>
      <xdr:row>20</xdr:row>
      <xdr:rowOff>134620</xdr:rowOff>
    </xdr:to>
    <xdr:graphicFrame>
      <xdr:nvGraphicFramePr>
        <xdr:cNvPr id="6" name="Chart 5"/>
        <xdr:cNvGraphicFramePr/>
      </xdr:nvGraphicFramePr>
      <xdr:xfrm>
        <a:off x="3489325" y="1478280"/>
        <a:ext cx="3445510" cy="23139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274955</xdr:colOff>
      <xdr:row>8</xdr:row>
      <xdr:rowOff>13335</xdr:rowOff>
    </xdr:from>
    <xdr:to>
      <xdr:col>17</xdr:col>
      <xdr:colOff>175260</xdr:colOff>
      <xdr:row>20</xdr:row>
      <xdr:rowOff>146685</xdr:rowOff>
    </xdr:to>
    <xdr:graphicFrame>
      <xdr:nvGraphicFramePr>
        <xdr:cNvPr id="10" name="Chart 9"/>
        <xdr:cNvGraphicFramePr/>
      </xdr:nvGraphicFramePr>
      <xdr:xfrm>
        <a:off x="6980555" y="1476375"/>
        <a:ext cx="3557905" cy="23279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15875</xdr:colOff>
      <xdr:row>21</xdr:row>
      <xdr:rowOff>6985</xdr:rowOff>
    </xdr:from>
    <xdr:to>
      <xdr:col>5</xdr:col>
      <xdr:colOff>393065</xdr:colOff>
      <xdr:row>33</xdr:row>
      <xdr:rowOff>36830</xdr:rowOff>
    </xdr:to>
    <xdr:graphicFrame>
      <xdr:nvGraphicFramePr>
        <xdr:cNvPr id="11" name="Chart 10"/>
        <xdr:cNvGraphicFramePr/>
      </xdr:nvGraphicFramePr>
      <xdr:xfrm>
        <a:off x="15875" y="3847465"/>
        <a:ext cx="3425190" cy="22244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236220</xdr:colOff>
      <xdr:row>21</xdr:row>
      <xdr:rowOff>2540</xdr:rowOff>
    </xdr:from>
    <xdr:to>
      <xdr:col>23</xdr:col>
      <xdr:colOff>85090</xdr:colOff>
      <xdr:row>33</xdr:row>
      <xdr:rowOff>25400</xdr:rowOff>
    </xdr:to>
    <xdr:graphicFrame>
      <xdr:nvGraphicFramePr>
        <xdr:cNvPr id="12" name="Chart 11"/>
        <xdr:cNvGraphicFramePr/>
      </xdr:nvGraphicFramePr>
      <xdr:xfrm>
        <a:off x="10599420" y="3843020"/>
        <a:ext cx="3506470" cy="2217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212090</xdr:colOff>
      <xdr:row>8</xdr:row>
      <xdr:rowOff>27305</xdr:rowOff>
    </xdr:from>
    <xdr:to>
      <xdr:col>23</xdr:col>
      <xdr:colOff>89535</xdr:colOff>
      <xdr:row>20</xdr:row>
      <xdr:rowOff>144780</xdr:rowOff>
    </xdr:to>
    <xdr:graphicFrame>
      <xdr:nvGraphicFramePr>
        <xdr:cNvPr id="13" name="Chart 12"/>
        <xdr:cNvGraphicFramePr/>
      </xdr:nvGraphicFramePr>
      <xdr:xfrm>
        <a:off x="10575290" y="1490345"/>
        <a:ext cx="3535045" cy="23120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443230</xdr:colOff>
      <xdr:row>21</xdr:row>
      <xdr:rowOff>11430</xdr:rowOff>
    </xdr:from>
    <xdr:to>
      <xdr:col>11</xdr:col>
      <xdr:colOff>215265</xdr:colOff>
      <xdr:row>33</xdr:row>
      <xdr:rowOff>34925</xdr:rowOff>
    </xdr:to>
    <xdr:graphicFrame>
      <xdr:nvGraphicFramePr>
        <xdr:cNvPr id="14" name="Chart 13"/>
        <xdr:cNvGraphicFramePr/>
      </xdr:nvGraphicFramePr>
      <xdr:xfrm>
        <a:off x="3491230" y="3851910"/>
        <a:ext cx="3429635" cy="22180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278130</xdr:colOff>
      <xdr:row>21</xdr:row>
      <xdr:rowOff>8890</xdr:rowOff>
    </xdr:from>
    <xdr:to>
      <xdr:col>17</xdr:col>
      <xdr:colOff>188595</xdr:colOff>
      <xdr:row>33</xdr:row>
      <xdr:rowOff>29210</xdr:rowOff>
    </xdr:to>
    <xdr:graphicFrame>
      <xdr:nvGraphicFramePr>
        <xdr:cNvPr id="15" name="Chart 14"/>
        <xdr:cNvGraphicFramePr/>
      </xdr:nvGraphicFramePr>
      <xdr:xfrm>
        <a:off x="6983730" y="3849370"/>
        <a:ext cx="3568065" cy="22148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23</xdr:col>
      <xdr:colOff>157480</xdr:colOff>
      <xdr:row>3</xdr:row>
      <xdr:rowOff>168910</xdr:rowOff>
    </xdr:from>
    <xdr:to>
      <xdr:col>25</xdr:col>
      <xdr:colOff>555625</xdr:colOff>
      <xdr:row>16</xdr:row>
      <xdr:rowOff>8255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9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8280" y="717550"/>
              <a:ext cx="1617345" cy="22167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7</xdr:col>
      <xdr:colOff>340995</xdr:colOff>
      <xdr:row>43</xdr:row>
      <xdr:rowOff>13335</xdr:rowOff>
    </xdr:from>
    <xdr:to>
      <xdr:col>10</xdr:col>
      <xdr:colOff>340995</xdr:colOff>
      <xdr:row>56</xdr:row>
      <xdr:rowOff>102870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4" name="Customer Lo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 Lo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08195" y="7877175"/>
              <a:ext cx="1828800" cy="2466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149225</xdr:colOff>
      <xdr:row>16</xdr:row>
      <xdr:rowOff>74295</xdr:rowOff>
    </xdr:from>
    <xdr:to>
      <xdr:col>25</xdr:col>
      <xdr:colOff>539115</xdr:colOff>
      <xdr:row>25</xdr:row>
      <xdr:rowOff>130175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5" name="Payment Metho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yment Metho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70025" y="3000375"/>
              <a:ext cx="1609090" cy="1701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23</xdr:col>
      <xdr:colOff>133985</xdr:colOff>
      <xdr:row>26</xdr:row>
      <xdr:rowOff>10160</xdr:rowOff>
    </xdr:from>
    <xdr:to>
      <xdr:col>25</xdr:col>
      <xdr:colOff>544830</xdr:colOff>
      <xdr:row>33</xdr:row>
      <xdr:rowOff>33655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6" name="Order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154785" y="4765040"/>
              <a:ext cx="1630045" cy="1303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5</xdr:col>
      <xdr:colOff>6985</xdr:colOff>
      <xdr:row>4</xdr:row>
      <xdr:rowOff>7620</xdr:rowOff>
    </xdr:from>
    <xdr:to>
      <xdr:col>9</xdr:col>
      <xdr:colOff>243205</xdr:colOff>
      <xdr:row>7</xdr:row>
      <xdr:rowOff>121920</xdr:rowOff>
    </xdr:to>
    <xdr:sp>
      <xdr:nvSpPr>
        <xdr:cNvPr id="4" name="Rectangle 3"/>
        <xdr:cNvSpPr/>
      </xdr:nvSpPr>
      <xdr:spPr>
        <a:xfrm>
          <a:off x="3054985" y="739140"/>
          <a:ext cx="2674620" cy="66294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400" b="1">
              <a:solidFill>
                <a:schemeClr val="tx1"/>
              </a:solidFill>
            </a:rPr>
            <a:t>Total Order</a:t>
          </a:r>
          <a:endParaRPr lang="en-US" sz="1400" b="1">
            <a:solidFill>
              <a:schemeClr val="tx1"/>
            </a:solidFill>
          </a:endParaRPr>
        </a:p>
        <a:p>
          <a:pPr algn="ctr"/>
          <a:r>
            <a:rPr lang="en-US" sz="1400" b="1">
              <a:solidFill>
                <a:schemeClr val="tx1"/>
              </a:solidFill>
            </a:rPr>
            <a:t>1,000</a:t>
          </a:r>
          <a:endParaRPr lang="en-US" sz="1400" b="1">
            <a:solidFill>
              <a:schemeClr val="tx1"/>
            </a:solidFill>
          </a:endParaRPr>
        </a:p>
        <a:p>
          <a:pPr algn="ctr"/>
          <a:endParaRPr lang="en-US" sz="1400" b="1">
            <a:solidFill>
              <a:schemeClr val="tx1"/>
            </a:solidFill>
          </a:endParaRPr>
        </a:p>
        <a:p>
          <a:pPr algn="ctr"/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32385</xdr:colOff>
      <xdr:row>4</xdr:row>
      <xdr:rowOff>1905</xdr:rowOff>
    </xdr:from>
    <xdr:to>
      <xdr:col>4</xdr:col>
      <xdr:colOff>387350</xdr:colOff>
      <xdr:row>7</xdr:row>
      <xdr:rowOff>107315</xdr:rowOff>
    </xdr:to>
    <xdr:sp>
      <xdr:nvSpPr>
        <xdr:cNvPr id="7" name="Rectangle 6"/>
        <xdr:cNvSpPr/>
      </xdr:nvSpPr>
      <xdr:spPr>
        <a:xfrm>
          <a:off x="32385" y="733425"/>
          <a:ext cx="2793365" cy="6540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400" b="1">
              <a:solidFill>
                <a:schemeClr val="tx1"/>
              </a:solidFill>
            </a:rPr>
            <a:t>Total Sales</a:t>
          </a:r>
          <a:endParaRPr lang="en-US" sz="1400" b="1">
            <a:solidFill>
              <a:schemeClr val="tx1"/>
            </a:solidFill>
          </a:endParaRPr>
        </a:p>
        <a:p>
          <a:pPr algn="ctr"/>
          <a:r>
            <a:rPr lang="en-US" sz="1400" b="1">
              <a:solidFill>
                <a:schemeClr val="tx1"/>
              </a:solidFill>
            </a:rPr>
            <a:t>$5,146,993</a:t>
          </a:r>
          <a:endParaRPr lang="en-US" sz="1100"/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9</xdr:col>
      <xdr:colOff>455295</xdr:colOff>
      <xdr:row>4</xdr:row>
      <xdr:rowOff>10795</xdr:rowOff>
    </xdr:from>
    <xdr:to>
      <xdr:col>14</xdr:col>
      <xdr:colOff>66675</xdr:colOff>
      <xdr:row>7</xdr:row>
      <xdr:rowOff>99060</xdr:rowOff>
    </xdr:to>
    <xdr:sp>
      <xdr:nvSpPr>
        <xdr:cNvPr id="8" name="Rectangle 7"/>
        <xdr:cNvSpPr/>
      </xdr:nvSpPr>
      <xdr:spPr>
        <a:xfrm>
          <a:off x="5941695" y="742315"/>
          <a:ext cx="2659380" cy="63690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400" b="1">
              <a:solidFill>
                <a:sysClr val="windowText" lastClr="000000"/>
              </a:solidFill>
            </a:rPr>
            <a:t>Total Quantity</a:t>
          </a:r>
          <a:endParaRPr lang="en-US" sz="1400" b="1">
            <a:solidFill>
              <a:sysClr val="windowText" lastClr="000000"/>
            </a:solidFill>
          </a:endParaRPr>
        </a:p>
        <a:p>
          <a:pPr algn="ctr"/>
          <a:r>
            <a:rPr lang="en-US" sz="1400" b="1">
              <a:solidFill>
                <a:sysClr val="windowText" lastClr="000000"/>
              </a:solidFill>
            </a:rPr>
            <a:t>3,007</a:t>
          </a:r>
          <a:endParaRPr lang="en-US" sz="1400" b="1"/>
        </a:p>
        <a:p>
          <a:pPr algn="ctr"/>
          <a:endParaRPr lang="en-US" sz="1400" b="1"/>
        </a:p>
        <a:p>
          <a:pPr algn="ctr"/>
          <a:endParaRPr lang="en-US" sz="1400" b="1"/>
        </a:p>
      </xdr:txBody>
    </xdr:sp>
    <xdr:clientData/>
  </xdr:twoCellAnchor>
  <xdr:twoCellAnchor>
    <xdr:from>
      <xdr:col>14</xdr:col>
      <xdr:colOff>295910</xdr:colOff>
      <xdr:row>4</xdr:row>
      <xdr:rowOff>13335</xdr:rowOff>
    </xdr:from>
    <xdr:to>
      <xdr:col>18</xdr:col>
      <xdr:colOff>422910</xdr:colOff>
      <xdr:row>7</xdr:row>
      <xdr:rowOff>92075</xdr:rowOff>
    </xdr:to>
    <xdr:sp>
      <xdr:nvSpPr>
        <xdr:cNvPr id="9" name="Rectangle 8"/>
        <xdr:cNvSpPr/>
      </xdr:nvSpPr>
      <xdr:spPr>
        <a:xfrm>
          <a:off x="8830310" y="744855"/>
          <a:ext cx="2565400" cy="62738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400" b="1">
              <a:solidFill>
                <a:schemeClr val="tx1"/>
              </a:solidFill>
            </a:rPr>
            <a:t>Avg Order Value</a:t>
          </a:r>
          <a:endParaRPr lang="en-US" sz="1400" b="1">
            <a:solidFill>
              <a:schemeClr val="tx1"/>
            </a:solidFill>
          </a:endParaRPr>
        </a:p>
        <a:p>
          <a:pPr algn="ctr"/>
          <a:r>
            <a:rPr lang="en-US" sz="1400" b="1">
              <a:solidFill>
                <a:schemeClr val="tx1"/>
              </a:solidFill>
            </a:rPr>
            <a:t>5,146.993</a:t>
          </a:r>
          <a:endParaRPr lang="en-US" sz="1400" b="1">
            <a:solidFill>
              <a:schemeClr val="tx1"/>
            </a:solidFill>
          </a:endParaRPr>
        </a:p>
        <a:p>
          <a:pPr algn="ctr"/>
          <a:endParaRPr lang="en-US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31750</xdr:colOff>
      <xdr:row>4</xdr:row>
      <xdr:rowOff>22860</xdr:rowOff>
    </xdr:from>
    <xdr:to>
      <xdr:col>23</xdr:col>
      <xdr:colOff>66040</xdr:colOff>
      <xdr:row>7</xdr:row>
      <xdr:rowOff>102235</xdr:rowOff>
    </xdr:to>
    <xdr:sp>
      <xdr:nvSpPr>
        <xdr:cNvPr id="16" name="Rectangle 15"/>
        <xdr:cNvSpPr/>
      </xdr:nvSpPr>
      <xdr:spPr>
        <a:xfrm>
          <a:off x="11614150" y="754380"/>
          <a:ext cx="2472690" cy="628015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p>
          <a:pPr algn="ctr"/>
          <a:r>
            <a:rPr lang="en-US" sz="1400" b="1">
              <a:solidFill>
                <a:schemeClr val="tx1"/>
              </a:solidFill>
            </a:rPr>
            <a:t>Delivered </a:t>
          </a:r>
          <a:endParaRPr lang="en-US" sz="1400" b="1">
            <a:solidFill>
              <a:schemeClr val="tx1"/>
            </a:solidFill>
          </a:endParaRPr>
        </a:p>
        <a:p>
          <a:pPr algn="ctr"/>
          <a:r>
            <a:rPr lang="en-US" sz="1400" b="1">
              <a:solidFill>
                <a:schemeClr val="tx1"/>
              </a:solidFill>
            </a:rPr>
            <a:t>68.1%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244.7557791667" refreshedBy="Shrapti" recordCount="1000">
  <cacheSource type="worksheet">
    <worksheetSource ref="A1:M1001" sheet="Cleaned Data"/>
  </cacheSource>
  <cacheFields count="13">
    <cacheField name="Order ID" numFmtId="0">
      <sharedItems count="1000">
        <s v="ORD100002"/>
        <s v="ORD100003"/>
        <s v="ORD100004"/>
        <s v="ORD100005"/>
        <s v="ORD100006"/>
        <s v="ORD100007"/>
        <s v="ORD100008"/>
        <s v="ORD100009"/>
        <s v="ORD100010"/>
        <s v="ORD100011"/>
        <s v="ORD100012"/>
        <s v="ORD100013"/>
        <s v="ORD100014"/>
        <s v="ORD100015"/>
        <s v="ORD100016"/>
        <s v="ORD100017"/>
        <s v="ORD100018"/>
        <s v="ORD100019"/>
        <s v="ORD100020"/>
        <s v="ORD100021"/>
        <s v="ORD100022"/>
        <s v="ORD100023"/>
        <s v="ORD100024"/>
        <s v="ORD100025"/>
        <s v="ORD100026"/>
        <s v="ORD100027"/>
        <s v="ORD100028"/>
        <s v="ORD100029"/>
        <s v="ORD100030"/>
        <s v="ORD100031"/>
        <s v="ORD100032"/>
        <s v="ORD100033"/>
        <s v="ORD100034"/>
        <s v="ORD100035"/>
        <s v="ORD100036"/>
        <s v="ORD100037"/>
        <s v="ORD100038"/>
        <s v="ORD100039"/>
        <s v="ORD100040"/>
        <s v="ORD100041"/>
        <s v="ORD100042"/>
        <s v="ORD100043"/>
        <s v="ORD100044"/>
        <s v="ORD100045"/>
        <s v="ORD100046"/>
        <s v="ORD100047"/>
        <s v="ORD100048"/>
        <s v="ORD100049"/>
        <s v="ORD100050"/>
        <s v="ORD100051"/>
        <s v="ORD100052"/>
        <s v="ORD100053"/>
        <s v="ORD100054"/>
        <s v="ORD100055"/>
        <s v="ORD100056"/>
        <s v="ORD100057"/>
        <s v="ORD100058"/>
        <s v="ORD100059"/>
        <s v="ORD100060"/>
        <s v="ORD100061"/>
        <s v="ORD100062"/>
        <s v="ORD100063"/>
        <s v="ORD100064"/>
        <s v="ORD100065"/>
        <s v="ORD100066"/>
        <s v="ORD100067"/>
        <s v="ORD100068"/>
        <s v="ORD100069"/>
        <s v="ORD100070"/>
        <s v="ORD100071"/>
        <s v="ORD100072"/>
        <s v="ORD100073"/>
        <s v="ORD100074"/>
        <s v="ORD100075"/>
        <s v="ORD100076"/>
        <s v="ORD100077"/>
        <s v="ORD100078"/>
        <s v="ORD100079"/>
        <s v="ORD100080"/>
        <s v="ORD100081"/>
        <s v="ORD100082"/>
        <s v="ORD100083"/>
        <s v="ORD100084"/>
        <s v="ORD100085"/>
        <s v="ORD100086"/>
        <s v="ORD100087"/>
        <s v="ORD100088"/>
        <s v="ORD100089"/>
        <s v="ORD100090"/>
        <s v="ORD100091"/>
        <s v="ORD100092"/>
        <s v="ORD100093"/>
        <s v="ORD100094"/>
        <s v="ORD100095"/>
        <s v="ORD100096"/>
        <s v="ORD100097"/>
        <s v="ORD100098"/>
        <s v="ORD100099"/>
        <s v="ORD100100"/>
        <s v="ORD100101"/>
        <s v="ORD100102"/>
        <s v="ORD100103"/>
        <s v="ORD100104"/>
        <s v="ORD100105"/>
        <s v="ORD100106"/>
        <s v="ORD100107"/>
        <s v="ORD100108"/>
        <s v="ORD100109"/>
        <s v="ORD100110"/>
        <s v="ORD100111"/>
        <s v="ORD100112"/>
        <s v="ORD100113"/>
        <s v="ORD100114"/>
        <s v="ORD100115"/>
        <s v="ORD100116"/>
        <s v="ORD100117"/>
        <s v="ORD100118"/>
        <s v="ORD100119"/>
        <s v="ORD100120"/>
        <s v="ORD100121"/>
        <s v="ORD100122"/>
        <s v="ORD100123"/>
        <s v="ORD100124"/>
        <s v="ORD100125"/>
        <s v="ORD100126"/>
        <s v="ORD100127"/>
        <s v="ORD100128"/>
        <s v="ORD100129"/>
        <s v="ORD100130"/>
        <s v="ORD100131"/>
        <s v="ORD100132"/>
        <s v="ORD100133"/>
        <s v="ORD100134"/>
        <s v="ORD100135"/>
        <s v="ORD100136"/>
        <s v="ORD100137"/>
        <s v="ORD100138"/>
        <s v="ORD100139"/>
        <s v="ORD100140"/>
        <s v="ORD100141"/>
        <s v="ORD100142"/>
        <s v="ORD100143"/>
        <s v="ORD100144"/>
        <s v="ORD100145"/>
        <s v="ORD100146"/>
        <s v="ORD100147"/>
        <s v="ORD100148"/>
        <s v="ORD100149"/>
        <s v="ORD100150"/>
        <s v="ORD100151"/>
        <s v="ORD100152"/>
        <s v="ORD100153"/>
        <s v="ORD100154"/>
        <s v="ORD100155"/>
        <s v="ORD100156"/>
        <s v="ORD100157"/>
        <s v="ORD100158"/>
        <s v="ORD100159"/>
        <s v="ORD100160"/>
        <s v="ORD100161"/>
        <s v="ORD100162"/>
        <s v="ORD100163"/>
        <s v="ORD100164"/>
        <s v="ORD100165"/>
        <s v="ORD100166"/>
        <s v="ORD100167"/>
        <s v="ORD100168"/>
        <s v="ORD100169"/>
        <s v="ORD100170"/>
        <s v="ORD100171"/>
        <s v="ORD100172"/>
        <s v="ORD100173"/>
        <s v="ORD100174"/>
        <s v="ORD100175"/>
        <s v="ORD100176"/>
        <s v="ORD100177"/>
        <s v="ORD100178"/>
        <s v="ORD100179"/>
        <s v="ORD100180"/>
        <s v="ORD100181"/>
        <s v="ORD100182"/>
        <s v="ORD100183"/>
        <s v="ORD100184"/>
        <s v="ORD100185"/>
        <s v="ORD100186"/>
        <s v="ORD100187"/>
        <s v="ORD100188"/>
        <s v="ORD100189"/>
        <s v="ORD100190"/>
        <s v="ORD100191"/>
        <s v="ORD100192"/>
        <s v="ORD100193"/>
        <s v="ORD100194"/>
        <s v="ORD100195"/>
        <s v="ORD100196"/>
        <s v="ORD100197"/>
        <s v="ORD100198"/>
        <s v="ORD100199"/>
        <s v="ORD100200"/>
        <s v="ORD100201"/>
        <s v="ORD100202"/>
        <s v="ORD100203"/>
        <s v="ORD100204"/>
        <s v="ORD100205"/>
        <s v="ORD100206"/>
        <s v="ORD100207"/>
        <s v="ORD100208"/>
        <s v="ORD100209"/>
        <s v="ORD100210"/>
        <s v="ORD100211"/>
        <s v="ORD100212"/>
        <s v="ORD100213"/>
        <s v="ORD100214"/>
        <s v="ORD100215"/>
        <s v="ORD100216"/>
        <s v="ORD100217"/>
        <s v="ORD100218"/>
        <s v="ORD100219"/>
        <s v="ORD100220"/>
        <s v="ORD100221"/>
        <s v="ORD100222"/>
        <s v="ORD100223"/>
        <s v="ORD100224"/>
        <s v="ORD100225"/>
        <s v="ORD100226"/>
        <s v="ORD100227"/>
        <s v="ORD100228"/>
        <s v="ORD100229"/>
        <s v="ORD100230"/>
        <s v="ORD100231"/>
        <s v="ORD100232"/>
        <s v="ORD100233"/>
        <s v="ORD100234"/>
        <s v="ORD100235"/>
        <s v="ORD100236"/>
        <s v="ORD100237"/>
        <s v="ORD100238"/>
        <s v="ORD100239"/>
        <s v="ORD100240"/>
        <s v="ORD100241"/>
        <s v="ORD100242"/>
        <s v="ORD100243"/>
        <s v="ORD100244"/>
        <s v="ORD100245"/>
        <s v="ORD100246"/>
        <s v="ORD100247"/>
        <s v="ORD100248"/>
        <s v="ORD100249"/>
        <s v="ORD100250"/>
        <s v="ORD100251"/>
        <s v="ORD100252"/>
        <s v="ORD100253"/>
        <s v="ORD100254"/>
        <s v="ORD100255"/>
        <s v="ORD100256"/>
        <s v="ORD100257"/>
        <s v="ORD100258"/>
        <s v="ORD100259"/>
        <s v="ORD100260"/>
        <s v="ORD100261"/>
        <s v="ORD100262"/>
        <s v="ORD100263"/>
        <s v="ORD100264"/>
        <s v="ORD100265"/>
        <s v="ORD100266"/>
        <s v="ORD100267"/>
        <s v="ORD100268"/>
        <s v="ORD100269"/>
        <s v="ORD100270"/>
        <s v="ORD100271"/>
        <s v="ORD100272"/>
        <s v="ORD100273"/>
        <s v="ORD100274"/>
        <s v="ORD100275"/>
        <s v="ORD100276"/>
        <s v="ORD100277"/>
        <s v="ORD100278"/>
        <s v="ORD100279"/>
        <s v="ORD100280"/>
        <s v="ORD100281"/>
        <s v="ORD100282"/>
        <s v="ORD100283"/>
        <s v="ORD100284"/>
        <s v="ORD100285"/>
        <s v="ORD100286"/>
        <s v="ORD100287"/>
        <s v="ORD100288"/>
        <s v="ORD100289"/>
        <s v="ORD100290"/>
        <s v="ORD100291"/>
        <s v="ORD100292"/>
        <s v="ORD100293"/>
        <s v="ORD100294"/>
        <s v="ORD100295"/>
        <s v="ORD100296"/>
        <s v="ORD100297"/>
        <s v="ORD100298"/>
        <s v="ORD100299"/>
        <s v="ORD100300"/>
        <s v="ORD100301"/>
        <s v="ORD100302"/>
        <s v="ORD100303"/>
        <s v="ORD100304"/>
        <s v="ORD100305"/>
        <s v="ORD100306"/>
        <s v="ORD100307"/>
        <s v="ORD100308"/>
        <s v="ORD100309"/>
        <s v="ORD100310"/>
        <s v="ORD100311"/>
        <s v="ORD100312"/>
        <s v="ORD100313"/>
        <s v="ORD100314"/>
        <s v="ORD100315"/>
        <s v="ORD100316"/>
        <s v="ORD100317"/>
        <s v="ORD100318"/>
        <s v="ORD100319"/>
        <s v="ORD100320"/>
        <s v="ORD100321"/>
        <s v="ORD100322"/>
        <s v="ORD100323"/>
        <s v="ORD100324"/>
        <s v="ORD100325"/>
        <s v="ORD100326"/>
        <s v="ORD100327"/>
        <s v="ORD100328"/>
        <s v="ORD100329"/>
        <s v="ORD100330"/>
        <s v="ORD100331"/>
        <s v="ORD100332"/>
        <s v="ORD100333"/>
        <s v="ORD100334"/>
        <s v="ORD100335"/>
        <s v="ORD100336"/>
        <s v="ORD100337"/>
        <s v="ORD100338"/>
        <s v="ORD100339"/>
        <s v="ORD100340"/>
        <s v="ORD100341"/>
        <s v="ORD100342"/>
        <s v="ORD100343"/>
        <s v="ORD100344"/>
        <s v="ORD100345"/>
        <s v="ORD100346"/>
        <s v="ORD100347"/>
        <s v="ORD100348"/>
        <s v="ORD100349"/>
        <s v="ORD100350"/>
        <s v="ORD100351"/>
        <s v="ORD100352"/>
        <s v="ORD100353"/>
        <s v="ORD100354"/>
        <s v="ORD100355"/>
        <s v="ORD100356"/>
        <s v="ORD100357"/>
        <s v="ORD100358"/>
        <s v="ORD100359"/>
        <s v="ORD100360"/>
        <s v="ORD100361"/>
        <s v="ORD100362"/>
        <s v="ORD100363"/>
        <s v="ORD100364"/>
        <s v="ORD100365"/>
        <s v="ORD100366"/>
        <s v="ORD100367"/>
        <s v="ORD100368"/>
        <s v="ORD100369"/>
        <s v="ORD100370"/>
        <s v="ORD100371"/>
        <s v="ORD100372"/>
        <s v="ORD100373"/>
        <s v="ORD100374"/>
        <s v="ORD100375"/>
        <s v="ORD100376"/>
        <s v="ORD100377"/>
        <s v="ORD100378"/>
        <s v="ORD100379"/>
        <s v="ORD100380"/>
        <s v="ORD100381"/>
        <s v="ORD100382"/>
        <s v="ORD100383"/>
        <s v="ORD100384"/>
        <s v="ORD100385"/>
        <s v="ORD100386"/>
        <s v="ORD100387"/>
        <s v="ORD100388"/>
        <s v="ORD100389"/>
        <s v="ORD100390"/>
        <s v="ORD100391"/>
        <s v="ORD100392"/>
        <s v="ORD100393"/>
        <s v="ORD100394"/>
        <s v="ORD100395"/>
        <s v="ORD100396"/>
        <s v="ORD100397"/>
        <s v="ORD100398"/>
        <s v="ORD100399"/>
        <s v="ORD100400"/>
        <s v="ORD100401"/>
        <s v="ORD100402"/>
        <s v="ORD100403"/>
        <s v="ORD100404"/>
        <s v="ORD100405"/>
        <s v="ORD100406"/>
        <s v="ORD100407"/>
        <s v="ORD100408"/>
        <s v="ORD100409"/>
        <s v="ORD100410"/>
        <s v="ORD100411"/>
        <s v="ORD100412"/>
        <s v="ORD100413"/>
        <s v="ORD100414"/>
        <s v="ORD100415"/>
        <s v="ORD100416"/>
        <s v="ORD100417"/>
        <s v="ORD100418"/>
        <s v="ORD100419"/>
        <s v="ORD100420"/>
        <s v="ORD100421"/>
        <s v="ORD100422"/>
        <s v="ORD100423"/>
        <s v="ORD100424"/>
        <s v="ORD100425"/>
        <s v="ORD100426"/>
        <s v="ORD100427"/>
        <s v="ORD100428"/>
        <s v="ORD100429"/>
        <s v="ORD100430"/>
        <s v="ORD100431"/>
        <s v="ORD100432"/>
        <s v="ORD100433"/>
        <s v="ORD100434"/>
        <s v="ORD100435"/>
        <s v="ORD100436"/>
        <s v="ORD100437"/>
        <s v="ORD100438"/>
        <s v="ORD100439"/>
        <s v="ORD100440"/>
        <s v="ORD100441"/>
        <s v="ORD100442"/>
        <s v="ORD100443"/>
        <s v="ORD100444"/>
        <s v="ORD100445"/>
        <s v="ORD100446"/>
        <s v="ORD100447"/>
        <s v="ORD100448"/>
        <s v="ORD100449"/>
        <s v="ORD100450"/>
        <s v="ORD100451"/>
        <s v="ORD100452"/>
        <s v="ORD100453"/>
        <s v="ORD100454"/>
        <s v="ORD100455"/>
        <s v="ORD100456"/>
        <s v="ORD100457"/>
        <s v="ORD100458"/>
        <s v="ORD100459"/>
        <s v="ORD100460"/>
        <s v="ORD100461"/>
        <s v="ORD100462"/>
        <s v="ORD100463"/>
        <s v="ORD100464"/>
        <s v="ORD100465"/>
        <s v="ORD100466"/>
        <s v="ORD100467"/>
        <s v="ORD100468"/>
        <s v="ORD100469"/>
        <s v="ORD100470"/>
        <s v="ORD100471"/>
        <s v="ORD100472"/>
        <s v="ORD100473"/>
        <s v="ORD100474"/>
        <s v="ORD100475"/>
        <s v="ORD100476"/>
        <s v="ORD100477"/>
        <s v="ORD100478"/>
        <s v="ORD100479"/>
        <s v="ORD100480"/>
        <s v="ORD100481"/>
        <s v="ORD100482"/>
        <s v="ORD100483"/>
        <s v="ORD100484"/>
        <s v="ORD100485"/>
        <s v="ORD100486"/>
        <s v="ORD100487"/>
        <s v="ORD100488"/>
        <s v="ORD100489"/>
        <s v="ORD100490"/>
        <s v="ORD100491"/>
        <s v="ORD100492"/>
        <s v="ORD100493"/>
        <s v="ORD100494"/>
        <s v="ORD100495"/>
        <s v="ORD100496"/>
        <s v="ORD100497"/>
        <s v="ORD100498"/>
        <s v="ORD100499"/>
        <s v="ORD100500"/>
        <s v="ORD100501"/>
        <s v="ORD100502"/>
        <s v="ORD100503"/>
        <s v="ORD100504"/>
        <s v="ORD100505"/>
        <s v="ORD100506"/>
        <s v="ORD100507"/>
        <s v="ORD100508"/>
        <s v="ORD100509"/>
        <s v="ORD100510"/>
        <s v="ORD100511"/>
        <s v="ORD100512"/>
        <s v="ORD100513"/>
        <s v="ORD100514"/>
        <s v="ORD100515"/>
        <s v="ORD100516"/>
        <s v="ORD100517"/>
        <s v="ORD100518"/>
        <s v="ORD100519"/>
        <s v="ORD100520"/>
        <s v="ORD100521"/>
        <s v="ORD100522"/>
        <s v="ORD100523"/>
        <s v="ORD100524"/>
        <s v="ORD100525"/>
        <s v="ORD100526"/>
        <s v="ORD100527"/>
        <s v="ORD100528"/>
        <s v="ORD100529"/>
        <s v="ORD100530"/>
        <s v="ORD100531"/>
        <s v="ORD100532"/>
        <s v="ORD100533"/>
        <s v="ORD100534"/>
        <s v="ORD100535"/>
        <s v="ORD100536"/>
        <s v="ORD100537"/>
        <s v="ORD100538"/>
        <s v="ORD100539"/>
        <s v="ORD100540"/>
        <s v="ORD100541"/>
        <s v="ORD100542"/>
        <s v="ORD100543"/>
        <s v="ORD100544"/>
        <s v="ORD100545"/>
        <s v="ORD100546"/>
        <s v="ORD100547"/>
        <s v="ORD100548"/>
        <s v="ORD100549"/>
        <s v="ORD100550"/>
        <s v="ORD100551"/>
        <s v="ORD100552"/>
        <s v="ORD100553"/>
        <s v="ORD100554"/>
        <s v="ORD100555"/>
        <s v="ORD100556"/>
        <s v="ORD100557"/>
        <s v="ORD100558"/>
        <s v="ORD100559"/>
        <s v="ORD100560"/>
        <s v="ORD100561"/>
        <s v="ORD100562"/>
        <s v="ORD100563"/>
        <s v="ORD100564"/>
        <s v="ORD100565"/>
        <s v="ORD100566"/>
        <s v="ORD100567"/>
        <s v="ORD100568"/>
        <s v="ORD100569"/>
        <s v="ORD100570"/>
        <s v="ORD100571"/>
        <s v="ORD100572"/>
        <s v="ORD100573"/>
        <s v="ORD100574"/>
        <s v="ORD100575"/>
        <s v="ORD100576"/>
        <s v="ORD100577"/>
        <s v="ORD100578"/>
        <s v="ORD100579"/>
        <s v="ORD100580"/>
        <s v="ORD100581"/>
        <s v="ORD100582"/>
        <s v="ORD100583"/>
        <s v="ORD100584"/>
        <s v="ORD100585"/>
        <s v="ORD100586"/>
        <s v="ORD100587"/>
        <s v="ORD100588"/>
        <s v="ORD100589"/>
        <s v="ORD100590"/>
        <s v="ORD100591"/>
        <s v="ORD100592"/>
        <s v="ORD100593"/>
        <s v="ORD100594"/>
        <s v="ORD100595"/>
        <s v="ORD100596"/>
        <s v="ORD100597"/>
        <s v="ORD100598"/>
        <s v="ORD100599"/>
        <s v="ORD100600"/>
        <s v="ORD100601"/>
        <s v="ORD100602"/>
        <s v="ORD100603"/>
        <s v="ORD100604"/>
        <s v="ORD100605"/>
        <s v="ORD100606"/>
        <s v="ORD100607"/>
        <s v="ORD100608"/>
        <s v="ORD100609"/>
        <s v="ORD100610"/>
        <s v="ORD100611"/>
        <s v="ORD100612"/>
        <s v="ORD100613"/>
        <s v="ORD100614"/>
        <s v="ORD100615"/>
        <s v="ORD100616"/>
        <s v="ORD100617"/>
        <s v="ORD100618"/>
        <s v="ORD100619"/>
        <s v="ORD100620"/>
        <s v="ORD100621"/>
        <s v="ORD100622"/>
        <s v="ORD100623"/>
        <s v="ORD100624"/>
        <s v="ORD100625"/>
        <s v="ORD100626"/>
        <s v="ORD100627"/>
        <s v="ORD100628"/>
        <s v="ORD100629"/>
        <s v="ORD100630"/>
        <s v="ORD100631"/>
        <s v="ORD100632"/>
        <s v="ORD100633"/>
        <s v="ORD100634"/>
        <s v="ORD100635"/>
        <s v="ORD100636"/>
        <s v="ORD100637"/>
        <s v="ORD100638"/>
        <s v="ORD100639"/>
        <s v="ORD100640"/>
        <s v="ORD100641"/>
        <s v="ORD100642"/>
        <s v="ORD100643"/>
        <s v="ORD100644"/>
        <s v="ORD100645"/>
        <s v="ORD100646"/>
        <s v="ORD100647"/>
        <s v="ORD100648"/>
        <s v="ORD100649"/>
        <s v="ORD100650"/>
        <s v="ORD100651"/>
        <s v="ORD100652"/>
        <s v="ORD100653"/>
        <s v="ORD100654"/>
        <s v="ORD100655"/>
        <s v="ORD100656"/>
        <s v="ORD100657"/>
        <s v="ORD100658"/>
        <s v="ORD100659"/>
        <s v="ORD100660"/>
        <s v="ORD100661"/>
        <s v="ORD100662"/>
        <s v="ORD100663"/>
        <s v="ORD100664"/>
        <s v="ORD100665"/>
        <s v="ORD100666"/>
        <s v="ORD100667"/>
        <s v="ORD100668"/>
        <s v="ORD100669"/>
        <s v="ORD100670"/>
        <s v="ORD100671"/>
        <s v="ORD100672"/>
        <s v="ORD100673"/>
        <s v="ORD100674"/>
        <s v="ORD100675"/>
        <s v="ORD100676"/>
        <s v="ORD100677"/>
        <s v="ORD100678"/>
        <s v="ORD100679"/>
        <s v="ORD100680"/>
        <s v="ORD100681"/>
        <s v="ORD100682"/>
        <s v="ORD100683"/>
        <s v="ORD100684"/>
        <s v="ORD100685"/>
        <s v="ORD100686"/>
        <s v="ORD100687"/>
        <s v="ORD100688"/>
        <s v="ORD100689"/>
        <s v="ORD100690"/>
        <s v="ORD100691"/>
        <s v="ORD100692"/>
        <s v="ORD100693"/>
        <s v="ORD100694"/>
        <s v="ORD100695"/>
        <s v="ORD100696"/>
        <s v="ORD100697"/>
        <s v="ORD100698"/>
        <s v="ORD100699"/>
        <s v="ORD100700"/>
        <s v="ORD100701"/>
        <s v="ORD100702"/>
        <s v="ORD100703"/>
        <s v="ORD100704"/>
        <s v="ORD100705"/>
        <s v="ORD100706"/>
        <s v="ORD100707"/>
        <s v="ORD100708"/>
        <s v="ORD100709"/>
        <s v="ORD100710"/>
        <s v="ORD100711"/>
        <s v="ORD100712"/>
        <s v="ORD100713"/>
        <s v="ORD100714"/>
        <s v="ORD100715"/>
        <s v="ORD100716"/>
        <s v="ORD100717"/>
        <s v="ORD100718"/>
        <s v="ORD100719"/>
        <s v="ORD100720"/>
        <s v="ORD100721"/>
        <s v="ORD100722"/>
        <s v="ORD100723"/>
        <s v="ORD100724"/>
        <s v="ORD100725"/>
        <s v="ORD100726"/>
        <s v="ORD100727"/>
        <s v="ORD100728"/>
        <s v="ORD100729"/>
        <s v="ORD100730"/>
        <s v="ORD100731"/>
        <s v="ORD100732"/>
        <s v="ORD100733"/>
        <s v="ORD100734"/>
        <s v="ORD100735"/>
        <s v="ORD100736"/>
        <s v="ORD100737"/>
        <s v="ORD100738"/>
        <s v="ORD100739"/>
        <s v="ORD100740"/>
        <s v="ORD100741"/>
        <s v="ORD100742"/>
        <s v="ORD100743"/>
        <s v="ORD100744"/>
        <s v="ORD100745"/>
        <s v="ORD100746"/>
        <s v="ORD100747"/>
        <s v="ORD100748"/>
        <s v="ORD100749"/>
        <s v="ORD100750"/>
        <s v="ORD100751"/>
        <s v="ORD100752"/>
        <s v="ORD100753"/>
        <s v="ORD100754"/>
        <s v="ORD100755"/>
        <s v="ORD100756"/>
        <s v="ORD100757"/>
        <s v="ORD100758"/>
        <s v="ORD100759"/>
        <s v="ORD100760"/>
        <s v="ORD100761"/>
        <s v="ORD100762"/>
        <s v="ORD100763"/>
        <s v="ORD100764"/>
        <s v="ORD100765"/>
        <s v="ORD100766"/>
        <s v="ORD100767"/>
        <s v="ORD100768"/>
        <s v="ORD100769"/>
        <s v="ORD100770"/>
        <s v="ORD100771"/>
        <s v="ORD100772"/>
        <s v="ORD100773"/>
        <s v="ORD100774"/>
        <s v="ORD100775"/>
        <s v="ORD100776"/>
        <s v="ORD100777"/>
        <s v="ORD100778"/>
        <s v="ORD100779"/>
        <s v="ORD100780"/>
        <s v="ORD100781"/>
        <s v="ORD100782"/>
        <s v="ORD100783"/>
        <s v="ORD100784"/>
        <s v="ORD100785"/>
        <s v="ORD100786"/>
        <s v="ORD100787"/>
        <s v="ORD100788"/>
        <s v="ORD100789"/>
        <s v="ORD100790"/>
        <s v="ORD100791"/>
        <s v="ORD100792"/>
        <s v="ORD100793"/>
        <s v="ORD100794"/>
        <s v="ORD100795"/>
        <s v="ORD100796"/>
        <s v="ORD100797"/>
        <s v="ORD100798"/>
        <s v="ORD100799"/>
        <s v="ORD100800"/>
        <s v="ORD100801"/>
        <s v="ORD100802"/>
        <s v="ORD100803"/>
        <s v="ORD100804"/>
        <s v="ORD100805"/>
        <s v="ORD100806"/>
        <s v="ORD100807"/>
        <s v="ORD100808"/>
        <s v="ORD100809"/>
        <s v="ORD100810"/>
        <s v="ORD100811"/>
        <s v="ORD100812"/>
        <s v="ORD100813"/>
        <s v="ORD100814"/>
        <s v="ORD100815"/>
        <s v="ORD100816"/>
        <s v="ORD100817"/>
        <s v="ORD100818"/>
        <s v="ORD100819"/>
        <s v="ORD100820"/>
        <s v="ORD100821"/>
        <s v="ORD100822"/>
        <s v="ORD100823"/>
        <s v="ORD100824"/>
        <s v="ORD100825"/>
        <s v="ORD100826"/>
        <s v="ORD100827"/>
        <s v="ORD100828"/>
        <s v="ORD100829"/>
        <s v="ORD100830"/>
        <s v="ORD100831"/>
        <s v="ORD100832"/>
        <s v="ORD100833"/>
        <s v="ORD100834"/>
        <s v="ORD100835"/>
        <s v="ORD100836"/>
        <s v="ORD100837"/>
        <s v="ORD100838"/>
        <s v="ORD100839"/>
        <s v="ORD100840"/>
        <s v="ORD100841"/>
        <s v="ORD100842"/>
        <s v="ORD100843"/>
        <s v="ORD100844"/>
        <s v="ORD100845"/>
        <s v="ORD100846"/>
        <s v="ORD100847"/>
        <s v="ORD100848"/>
        <s v="ORD100849"/>
        <s v="ORD100850"/>
        <s v="ORD100851"/>
        <s v="ORD100852"/>
        <s v="ORD100853"/>
        <s v="ORD100854"/>
        <s v="ORD100855"/>
        <s v="ORD100856"/>
        <s v="ORD100857"/>
        <s v="ORD100858"/>
        <s v="ORD100859"/>
        <s v="ORD100860"/>
        <s v="ORD100861"/>
        <s v="ORD100862"/>
        <s v="ORD100863"/>
        <s v="ORD100864"/>
        <s v="ORD100865"/>
        <s v="ORD100866"/>
        <s v="ORD100867"/>
        <s v="ORD100868"/>
        <s v="ORD100869"/>
        <s v="ORD100870"/>
        <s v="ORD100871"/>
        <s v="ORD100872"/>
        <s v="ORD100873"/>
        <s v="ORD100874"/>
        <s v="ORD100875"/>
        <s v="ORD100876"/>
        <s v="ORD100877"/>
        <s v="ORD100878"/>
        <s v="ORD100879"/>
        <s v="ORD100880"/>
        <s v="ORD100881"/>
        <s v="ORD100882"/>
        <s v="ORD100883"/>
        <s v="ORD100884"/>
        <s v="ORD100885"/>
        <s v="ORD100886"/>
        <s v="ORD100887"/>
        <s v="ORD100888"/>
        <s v="ORD100889"/>
        <s v="ORD100890"/>
        <s v="ORD100891"/>
        <s v="ORD100892"/>
        <s v="ORD100893"/>
        <s v="ORD100894"/>
        <s v="ORD100895"/>
        <s v="ORD100896"/>
        <s v="ORD100897"/>
        <s v="ORD100898"/>
        <s v="ORD100899"/>
        <s v="ORD100900"/>
        <s v="ORD100901"/>
        <s v="ORD100902"/>
        <s v="ORD100903"/>
        <s v="ORD100904"/>
        <s v="ORD100905"/>
        <s v="ORD100906"/>
        <s v="ORD100907"/>
        <s v="ORD100908"/>
        <s v="ORD100909"/>
        <s v="ORD100910"/>
        <s v="ORD100911"/>
        <s v="ORD100912"/>
        <s v="ORD100913"/>
        <s v="ORD100914"/>
        <s v="ORD100915"/>
        <s v="ORD100916"/>
        <s v="ORD100917"/>
        <s v="ORD100918"/>
        <s v="ORD100919"/>
        <s v="ORD100920"/>
        <s v="ORD100921"/>
        <s v="ORD100922"/>
        <s v="ORD100923"/>
        <s v="ORD100924"/>
        <s v="ORD100925"/>
        <s v="ORD100926"/>
        <s v="ORD100927"/>
        <s v="ORD100928"/>
        <s v="ORD100929"/>
        <s v="ORD100930"/>
        <s v="ORD100931"/>
        <s v="ORD100932"/>
        <s v="ORD100933"/>
        <s v="ORD100934"/>
        <s v="ORD100935"/>
        <s v="ORD100936"/>
        <s v="ORD100937"/>
        <s v="ORD100938"/>
        <s v="ORD100939"/>
        <s v="ORD100940"/>
        <s v="ORD100941"/>
        <s v="ORD100942"/>
        <s v="ORD100943"/>
        <s v="ORD100944"/>
        <s v="ORD100945"/>
        <s v="ORD100946"/>
        <s v="ORD100947"/>
        <s v="ORD100948"/>
        <s v="ORD100949"/>
        <s v="ORD100950"/>
        <s v="ORD100951"/>
        <s v="ORD100952"/>
        <s v="ORD100953"/>
        <s v="ORD100954"/>
        <s v="ORD100955"/>
        <s v="ORD100956"/>
        <s v="ORD100957"/>
        <s v="ORD100958"/>
        <s v="ORD100959"/>
        <s v="ORD100960"/>
        <s v="ORD100961"/>
        <s v="ORD100962"/>
        <s v="ORD100963"/>
        <s v="ORD100964"/>
        <s v="ORD100965"/>
        <s v="ORD100966"/>
        <s v="ORD100967"/>
        <s v="ORD100968"/>
        <s v="ORD100969"/>
        <s v="ORD100970"/>
        <s v="ORD100971"/>
        <s v="ORD100972"/>
        <s v="ORD100973"/>
        <s v="ORD100974"/>
        <s v="ORD100975"/>
        <s v="ORD100976"/>
        <s v="ORD100977"/>
        <s v="ORD100978"/>
        <s v="ORD100979"/>
        <s v="ORD100980"/>
        <s v="ORD100981"/>
        <s v="ORD100982"/>
        <s v="ORD100983"/>
        <s v="ORD100984"/>
        <s v="ORD100985"/>
        <s v="ORD100986"/>
        <s v="ORD100987"/>
        <s v="ORD100988"/>
        <s v="ORD100989"/>
        <s v="ORD100990"/>
        <s v="ORD100991"/>
        <s v="ORD100992"/>
        <s v="ORD100993"/>
        <s v="ORD100994"/>
        <s v="ORD100995"/>
        <s v="ORD100996"/>
        <s v="ORD100997"/>
        <s v="ORD100998"/>
        <s v="ORD100999"/>
        <s v="ORD101000"/>
        <s v="ORD101001"/>
      </sharedItems>
    </cacheField>
    <cacheField name="Date" numFmtId="0">
      <sharedItems count="179">
        <s v="02-04-2026"/>
        <s v="12-06-2026"/>
        <s v="13-06-2026"/>
        <s v="25-04-2026"/>
        <s v="27-03-2026"/>
        <s v="04-03-2026"/>
        <s v="03-06-2026"/>
        <s v="25-05-2026"/>
        <s v="15-03-2026"/>
        <s v="13-04-2026"/>
        <s v="29-01-2026"/>
        <s v="01-04-2026"/>
        <s v="26-02-2026"/>
        <s v="25-06-2026"/>
        <s v="14-01-2026"/>
        <s v="21-03-2026"/>
        <s v="01-05-2026"/>
        <s v="21-02-2026"/>
        <s v="20-06-2026"/>
        <s v="08-03-2026"/>
        <s v="16-01-2026"/>
        <s v="08-06-2026"/>
        <s v="09-05-2026"/>
        <s v="08-05-2026"/>
        <s v="19-04-2026"/>
        <s v="11-05-2026"/>
        <s v="25-01-2026"/>
        <s v="21-05-2026"/>
        <s v="07-01-2026"/>
        <s v="16-06-2026"/>
        <s v="27-06-2026"/>
        <s v="22-06-2026"/>
        <s v="20-03-2026"/>
        <s v="23-06-2026"/>
        <s v="02-03-2026"/>
        <s v="07-03-2026"/>
        <s v="27-05-2026"/>
        <s v="24-03-2026"/>
        <s v="12-03-2026"/>
        <s v="07-05-2026"/>
        <s v="08-02-2026"/>
        <s v="18-04-2026"/>
        <s v="21-04-2026"/>
        <s v="31-03-2026"/>
        <s v="23-04-2026"/>
        <s v="10-04-2026"/>
        <s v="25-02-2026"/>
        <s v="19-03-2026"/>
        <s v="20-01-2026"/>
        <s v="29-06-2026"/>
        <s v="22-01-2026"/>
        <s v="28-05-2026"/>
        <s v="10-01-2026"/>
        <s v="06-05-2026"/>
        <s v="06-01-2026"/>
        <s v="30-03-2026"/>
        <s v="12-04-2026"/>
        <s v="14-06-2026"/>
        <s v="29-05-2026"/>
        <s v="26-05-2026"/>
        <s v="03-04-2026"/>
        <s v="27-02-2026"/>
        <s v="21-01-2026"/>
        <s v="02-02-2026"/>
        <s v="22-04-2026"/>
        <s v="23-03-2026"/>
        <s v="03-01-2026"/>
        <s v="07-06-2026"/>
        <s v="26-01-2026"/>
        <s v="05-03-2026"/>
        <s v="17-02-2026"/>
        <s v="18-01-2026"/>
        <s v="09-01-2026"/>
        <s v="16-05-2026"/>
        <s v="16-03-2026"/>
        <s v="01-01-2026"/>
        <s v="31-05-2026"/>
        <s v="13-01-2026"/>
        <s v="13-02-2026"/>
        <s v="27-01-2026"/>
        <s v="08-01-2026"/>
        <s v="26-03-2026"/>
        <s v="15-04-2026"/>
        <s v="24-06-2026"/>
        <s v="26-04-2026"/>
        <s v="28-03-2026"/>
        <s v="17-01-2026"/>
        <s v="16-02-2026"/>
        <s v="22-03-2026"/>
        <s v="07-02-2026"/>
        <s v="03-05-2026"/>
        <s v="11-04-2026"/>
        <s v="04-04-2026"/>
        <s v="06-04-2026"/>
        <s v="19-05-2026"/>
        <s v="12-02-2026"/>
        <s v="02-01-2026"/>
        <s v="02-06-2026"/>
        <s v="15-02-2026"/>
        <s v="06-02-2026"/>
        <s v="25-03-2026"/>
        <s v="30-05-2026"/>
        <s v="04-02-2026"/>
        <s v="24-05-2026"/>
        <s v="13-05-2026"/>
        <s v="05-02-2026"/>
        <s v="14-03-2026"/>
        <s v="02-05-2026"/>
        <s v="15-05-2026"/>
        <s v="20-02-2026"/>
        <s v="04-05-2026"/>
        <s v="11-02-2026"/>
        <s v="09-02-2026"/>
        <s v="24-02-2026"/>
        <s v="19-01-2026"/>
        <s v="11-03-2026"/>
        <s v="15-01-2026"/>
        <s v="19-06-2026"/>
        <s v="05-06-2026"/>
        <s v="09-04-2026"/>
        <s v="21-06-2026"/>
        <s v="09-06-2026"/>
        <s v="23-05-2026"/>
        <s v="05-04-2026"/>
        <s v="30-01-2026"/>
        <s v="26-06-2026"/>
        <s v="18-02-2026"/>
        <s v="09-03-2026"/>
        <s v="30-04-2026"/>
        <s v="12-05-2026"/>
        <s v="28-04-2026"/>
        <s v="08-04-2026"/>
        <s v="19-02-2026"/>
        <s v="06-03-2026"/>
        <s v="29-04-2026"/>
        <s v="20-05-2026"/>
        <s v="22-05-2026"/>
        <s v="31-01-2026"/>
        <s v="14-04-2026"/>
        <s v="07-04-2026"/>
        <s v="18-06-2026"/>
        <s v="16-04-2026"/>
        <s v="04-01-2026"/>
        <s v="27-04-2026"/>
        <s v="01-03-2026"/>
        <s v="22-02-2026"/>
        <s v="14-05-2026"/>
        <s v="12-01-2026"/>
        <s v="18-03-2026"/>
        <s v="29-03-2026"/>
        <s v="28-01-2026"/>
        <s v="10-02-2026"/>
        <s v="03-03-2026"/>
        <s v="24-01-2026"/>
        <s v="15-06-2026"/>
        <s v="17-05-2026"/>
        <s v="17-03-2026"/>
        <s v="01-06-2026"/>
        <s v="04-06-2026"/>
        <s v="14-02-2026"/>
        <s v="03-02-2026"/>
        <s v="05-01-2026"/>
        <s v="06-06-2026"/>
        <s v="18-05-2026"/>
        <s v="23-01-2026"/>
        <s v="17-06-2026"/>
        <s v="13-03-2026"/>
        <s v="23-02-2026"/>
        <s v="24-04-2026"/>
        <s v="17-04-2026"/>
        <s v="10-03-2026"/>
        <s v="20-04-2026"/>
        <s v="28-06-2026"/>
        <s v="01-02-2026"/>
        <s v="05-05-2026"/>
        <s v="11-06-2026"/>
        <s v="28-02-2026"/>
        <s v="10-06-2026"/>
        <s v="11-01-2026"/>
      </sharedItems>
    </cacheField>
    <cacheField name="Product" numFmtId="0">
      <sharedItems count="15">
        <s v="Running Shoes"/>
        <s v="Backpack"/>
        <s v="Keyboard"/>
        <s v="Headphones"/>
        <s v="T-Shirt"/>
        <s v="Notebook"/>
        <s v="Sports Bottle"/>
        <s v="Wireless Mouse"/>
        <s v="Jeans"/>
        <s v="Coffee Mug"/>
        <s v="Office Chair"/>
        <s v="Water Bottle"/>
        <s v="Power Bank"/>
        <s v="Smart Watch"/>
        <s v="Bluetooth Speaker"/>
      </sharedItems>
    </cacheField>
    <cacheField name="Category" numFmtId="0">
      <sharedItems count="8">
        <s v="Footwear"/>
        <s v="Bags"/>
        <s v="Electronics"/>
        <s v="Clothing"/>
        <s v="Stationery"/>
        <s v="Sports"/>
        <s v="Home"/>
        <s v="Furniture"/>
      </sharedItems>
    </cacheField>
    <cacheField name="Price" numFmtId="0">
      <sharedItems containsSemiMixedTypes="0" containsString="0" containsNumber="1" containsInteger="1" minValue="0" maxValue="5499" count="14">
        <n v="2499"/>
        <n v="1499"/>
        <n v="1299"/>
        <n v="1999"/>
        <n v="699"/>
        <n v="199"/>
        <n v="899"/>
        <n v="799"/>
        <n v="1599"/>
        <n v="299"/>
        <n v="5499"/>
        <n v="499"/>
        <n v="3999"/>
        <n v="1799"/>
      </sharedItems>
    </cacheField>
    <cacheField name="Quantity" numFmtId="0">
      <sharedItems containsSemiMixedTypes="0" containsString="0" containsNumber="1" containsInteger="1" minValue="0" maxValue="5" count="5">
        <n v="2"/>
        <n v="1"/>
        <n v="4"/>
        <n v="5"/>
        <n v="3"/>
      </sharedItems>
    </cacheField>
    <cacheField name="Total Sales" numFmtId="0">
      <sharedItems containsSemiMixedTypes="0" containsString="0" containsNumber="1" containsInteger="1" minValue="0" maxValue="27495" count="70">
        <n v="4998"/>
        <n v="2998"/>
        <n v="1299"/>
        <n v="7996"/>
        <n v="1499"/>
        <n v="2598"/>
        <n v="699"/>
        <n v="398"/>
        <n v="5196"/>
        <n v="1798"/>
        <n v="1598"/>
        <n v="3198"/>
        <n v="1495"/>
        <n v="6495"/>
        <n v="27495"/>
        <n v="9996"/>
        <n v="998"/>
        <n v="299"/>
        <n v="3998"/>
        <n v="598"/>
        <n v="499"/>
        <n v="4497"/>
        <n v="21996"/>
        <n v="19995"/>
        <n v="3999"/>
        <n v="15996"/>
        <n v="11997"/>
        <n v="199"/>
        <n v="2495"/>
        <n v="1497"/>
        <n v="2397"/>
        <n v="1398"/>
        <n v="7196"/>
        <n v="10998"/>
        <n v="899"/>
        <n v="5397"/>
        <n v="12495"/>
        <n v="2796"/>
        <n v="3897"/>
        <n v="4495"/>
        <n v="6396"/>
        <n v="9995"/>
        <n v="8995"/>
        <n v="2697"/>
        <n v="3995"/>
        <n v="7497"/>
        <n v="7495"/>
        <n v="1999"/>
        <n v="16497"/>
        <n v="3495"/>
        <n v="4797"/>
        <n v="3596"/>
        <n v="5996"/>
        <n v="796"/>
        <n v="3196"/>
        <n v="1196"/>
        <n v="2499"/>
        <n v="897"/>
        <n v="597"/>
        <n v="5499"/>
        <n v="7995"/>
        <n v="2097"/>
        <n v="799"/>
        <n v="5997"/>
        <n v="3598"/>
        <n v="7998"/>
        <n v="1799"/>
        <n v="995"/>
        <n v="1996"/>
        <n v="1599"/>
      </sharedItems>
    </cacheField>
    <cacheField name="Customer Name" numFmtId="0">
      <sharedItems count="15">
        <s v="Aarav"/>
        <s v="Sahil"/>
        <s v="Sneha"/>
        <s v="Pooja"/>
        <s v="Aditya"/>
        <s v="Neha"/>
        <s v="Isha"/>
        <s v="Karan"/>
        <s v="Ananya"/>
        <s v="Diya"/>
        <s v="Priya"/>
        <s v="Vikram"/>
        <s v="Rahul"/>
        <s v="Meera"/>
        <s v="Rohan"/>
      </sharedItems>
    </cacheField>
    <cacheField name="Customer Location" numFmtId="0">
      <sharedItems count="12">
        <s v="Bengaluru"/>
        <s v="Ahmedabad"/>
        <s v="Hyderabad"/>
        <s v="Kolkata"/>
        <s v="Pune"/>
        <s v="Nagpur"/>
        <s v="Jaipur"/>
        <s v="Delhi"/>
        <s v="Mumbai"/>
        <s v="Chennai"/>
        <s v="Lucknow"/>
        <s v="Indore"/>
      </sharedItems>
    </cacheField>
    <cacheField name="Payment Method" numFmtId="0">
      <sharedItems count="5">
        <s v="Net Banking"/>
        <s v="Debit Card"/>
        <s v="Cash on Delivery"/>
        <s v="UPI"/>
        <s v="Credit Card"/>
      </sharedItems>
    </cacheField>
    <cacheField name="Order Status" numFmtId="0">
      <sharedItems count="3">
        <s v="Delivered"/>
        <s v="Cancelled"/>
        <s v="Pending"/>
      </sharedItems>
    </cacheField>
    <cacheField name="Month" numFmtId="0">
      <sharedItems count="6">
        <s v="Apr"/>
        <s v="Jun"/>
        <s v="Mar"/>
        <s v="May"/>
        <s v="Jan"/>
        <s v="Feb"/>
      </sharedItems>
    </cacheField>
    <cacheField name="Day" numFmtId="0">
      <sharedItems count="7">
        <s v="Thursday"/>
        <s v="Friday"/>
        <s v="Saturday"/>
        <s v="Wednesday"/>
        <s v="Monday"/>
        <s v="Sunday"/>
        <s v="Tuesday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0"/>
    <x v="1"/>
    <x v="1"/>
  </r>
  <r>
    <x v="2"/>
    <x v="2"/>
    <x v="2"/>
    <x v="2"/>
    <x v="2"/>
    <x v="1"/>
    <x v="2"/>
    <x v="2"/>
    <x v="2"/>
    <x v="2"/>
    <x v="1"/>
    <x v="1"/>
    <x v="2"/>
  </r>
  <r>
    <x v="3"/>
    <x v="3"/>
    <x v="3"/>
    <x v="2"/>
    <x v="3"/>
    <x v="2"/>
    <x v="3"/>
    <x v="3"/>
    <x v="2"/>
    <x v="3"/>
    <x v="0"/>
    <x v="0"/>
    <x v="2"/>
  </r>
  <r>
    <x v="4"/>
    <x v="4"/>
    <x v="1"/>
    <x v="1"/>
    <x v="1"/>
    <x v="1"/>
    <x v="4"/>
    <x v="0"/>
    <x v="0"/>
    <x v="2"/>
    <x v="0"/>
    <x v="2"/>
    <x v="1"/>
  </r>
  <r>
    <x v="5"/>
    <x v="5"/>
    <x v="2"/>
    <x v="2"/>
    <x v="2"/>
    <x v="0"/>
    <x v="5"/>
    <x v="4"/>
    <x v="3"/>
    <x v="0"/>
    <x v="2"/>
    <x v="2"/>
    <x v="3"/>
  </r>
  <r>
    <x v="6"/>
    <x v="6"/>
    <x v="4"/>
    <x v="3"/>
    <x v="4"/>
    <x v="1"/>
    <x v="6"/>
    <x v="2"/>
    <x v="3"/>
    <x v="3"/>
    <x v="1"/>
    <x v="1"/>
    <x v="3"/>
  </r>
  <r>
    <x v="7"/>
    <x v="7"/>
    <x v="5"/>
    <x v="4"/>
    <x v="5"/>
    <x v="0"/>
    <x v="7"/>
    <x v="1"/>
    <x v="2"/>
    <x v="3"/>
    <x v="1"/>
    <x v="3"/>
    <x v="4"/>
  </r>
  <r>
    <x v="8"/>
    <x v="8"/>
    <x v="2"/>
    <x v="2"/>
    <x v="2"/>
    <x v="2"/>
    <x v="8"/>
    <x v="5"/>
    <x v="4"/>
    <x v="3"/>
    <x v="0"/>
    <x v="2"/>
    <x v="5"/>
  </r>
  <r>
    <x v="9"/>
    <x v="9"/>
    <x v="6"/>
    <x v="5"/>
    <x v="6"/>
    <x v="0"/>
    <x v="9"/>
    <x v="6"/>
    <x v="5"/>
    <x v="2"/>
    <x v="0"/>
    <x v="0"/>
    <x v="4"/>
  </r>
  <r>
    <x v="10"/>
    <x v="10"/>
    <x v="2"/>
    <x v="2"/>
    <x v="2"/>
    <x v="0"/>
    <x v="5"/>
    <x v="7"/>
    <x v="6"/>
    <x v="2"/>
    <x v="0"/>
    <x v="4"/>
    <x v="0"/>
  </r>
  <r>
    <x v="11"/>
    <x v="11"/>
    <x v="7"/>
    <x v="2"/>
    <x v="7"/>
    <x v="0"/>
    <x v="10"/>
    <x v="8"/>
    <x v="1"/>
    <x v="3"/>
    <x v="2"/>
    <x v="0"/>
    <x v="3"/>
  </r>
  <r>
    <x v="12"/>
    <x v="12"/>
    <x v="1"/>
    <x v="1"/>
    <x v="1"/>
    <x v="1"/>
    <x v="4"/>
    <x v="0"/>
    <x v="1"/>
    <x v="1"/>
    <x v="2"/>
    <x v="5"/>
    <x v="0"/>
  </r>
  <r>
    <x v="13"/>
    <x v="13"/>
    <x v="8"/>
    <x v="3"/>
    <x v="8"/>
    <x v="0"/>
    <x v="11"/>
    <x v="0"/>
    <x v="7"/>
    <x v="2"/>
    <x v="1"/>
    <x v="1"/>
    <x v="0"/>
  </r>
  <r>
    <x v="14"/>
    <x v="14"/>
    <x v="9"/>
    <x v="6"/>
    <x v="9"/>
    <x v="3"/>
    <x v="12"/>
    <x v="8"/>
    <x v="8"/>
    <x v="0"/>
    <x v="2"/>
    <x v="4"/>
    <x v="3"/>
  </r>
  <r>
    <x v="15"/>
    <x v="15"/>
    <x v="2"/>
    <x v="2"/>
    <x v="2"/>
    <x v="3"/>
    <x v="13"/>
    <x v="8"/>
    <x v="5"/>
    <x v="1"/>
    <x v="0"/>
    <x v="2"/>
    <x v="2"/>
  </r>
  <r>
    <x v="16"/>
    <x v="16"/>
    <x v="10"/>
    <x v="7"/>
    <x v="10"/>
    <x v="3"/>
    <x v="14"/>
    <x v="9"/>
    <x v="4"/>
    <x v="4"/>
    <x v="0"/>
    <x v="3"/>
    <x v="1"/>
  </r>
  <r>
    <x v="17"/>
    <x v="17"/>
    <x v="4"/>
    <x v="3"/>
    <x v="4"/>
    <x v="1"/>
    <x v="6"/>
    <x v="2"/>
    <x v="0"/>
    <x v="4"/>
    <x v="0"/>
    <x v="5"/>
    <x v="2"/>
  </r>
  <r>
    <x v="18"/>
    <x v="18"/>
    <x v="0"/>
    <x v="0"/>
    <x v="0"/>
    <x v="2"/>
    <x v="15"/>
    <x v="10"/>
    <x v="5"/>
    <x v="1"/>
    <x v="0"/>
    <x v="1"/>
    <x v="2"/>
  </r>
  <r>
    <x v="19"/>
    <x v="19"/>
    <x v="2"/>
    <x v="2"/>
    <x v="2"/>
    <x v="3"/>
    <x v="13"/>
    <x v="6"/>
    <x v="9"/>
    <x v="0"/>
    <x v="0"/>
    <x v="2"/>
    <x v="5"/>
  </r>
  <r>
    <x v="20"/>
    <x v="20"/>
    <x v="11"/>
    <x v="6"/>
    <x v="11"/>
    <x v="0"/>
    <x v="16"/>
    <x v="11"/>
    <x v="0"/>
    <x v="3"/>
    <x v="0"/>
    <x v="4"/>
    <x v="1"/>
  </r>
  <r>
    <x v="21"/>
    <x v="21"/>
    <x v="9"/>
    <x v="6"/>
    <x v="9"/>
    <x v="1"/>
    <x v="17"/>
    <x v="0"/>
    <x v="10"/>
    <x v="4"/>
    <x v="1"/>
    <x v="1"/>
    <x v="4"/>
  </r>
  <r>
    <x v="22"/>
    <x v="22"/>
    <x v="0"/>
    <x v="0"/>
    <x v="0"/>
    <x v="0"/>
    <x v="0"/>
    <x v="6"/>
    <x v="4"/>
    <x v="2"/>
    <x v="2"/>
    <x v="3"/>
    <x v="2"/>
  </r>
  <r>
    <x v="23"/>
    <x v="23"/>
    <x v="11"/>
    <x v="6"/>
    <x v="11"/>
    <x v="0"/>
    <x v="16"/>
    <x v="3"/>
    <x v="9"/>
    <x v="1"/>
    <x v="2"/>
    <x v="3"/>
    <x v="1"/>
  </r>
  <r>
    <x v="24"/>
    <x v="24"/>
    <x v="1"/>
    <x v="1"/>
    <x v="1"/>
    <x v="0"/>
    <x v="1"/>
    <x v="6"/>
    <x v="7"/>
    <x v="3"/>
    <x v="0"/>
    <x v="0"/>
    <x v="5"/>
  </r>
  <r>
    <x v="25"/>
    <x v="25"/>
    <x v="9"/>
    <x v="6"/>
    <x v="9"/>
    <x v="3"/>
    <x v="12"/>
    <x v="3"/>
    <x v="7"/>
    <x v="2"/>
    <x v="2"/>
    <x v="3"/>
    <x v="4"/>
  </r>
  <r>
    <x v="26"/>
    <x v="15"/>
    <x v="3"/>
    <x v="2"/>
    <x v="3"/>
    <x v="0"/>
    <x v="18"/>
    <x v="6"/>
    <x v="0"/>
    <x v="1"/>
    <x v="0"/>
    <x v="2"/>
    <x v="2"/>
  </r>
  <r>
    <x v="27"/>
    <x v="26"/>
    <x v="9"/>
    <x v="6"/>
    <x v="9"/>
    <x v="0"/>
    <x v="19"/>
    <x v="6"/>
    <x v="9"/>
    <x v="0"/>
    <x v="2"/>
    <x v="4"/>
    <x v="5"/>
  </r>
  <r>
    <x v="28"/>
    <x v="27"/>
    <x v="11"/>
    <x v="6"/>
    <x v="11"/>
    <x v="1"/>
    <x v="20"/>
    <x v="12"/>
    <x v="0"/>
    <x v="1"/>
    <x v="0"/>
    <x v="3"/>
    <x v="0"/>
  </r>
  <r>
    <x v="29"/>
    <x v="28"/>
    <x v="12"/>
    <x v="2"/>
    <x v="2"/>
    <x v="1"/>
    <x v="2"/>
    <x v="7"/>
    <x v="5"/>
    <x v="0"/>
    <x v="0"/>
    <x v="4"/>
    <x v="3"/>
  </r>
  <r>
    <x v="30"/>
    <x v="29"/>
    <x v="1"/>
    <x v="1"/>
    <x v="1"/>
    <x v="4"/>
    <x v="21"/>
    <x v="8"/>
    <x v="11"/>
    <x v="3"/>
    <x v="0"/>
    <x v="1"/>
    <x v="6"/>
  </r>
  <r>
    <x v="31"/>
    <x v="29"/>
    <x v="10"/>
    <x v="7"/>
    <x v="10"/>
    <x v="2"/>
    <x v="22"/>
    <x v="9"/>
    <x v="8"/>
    <x v="3"/>
    <x v="0"/>
    <x v="1"/>
    <x v="6"/>
  </r>
  <r>
    <x v="32"/>
    <x v="30"/>
    <x v="12"/>
    <x v="2"/>
    <x v="2"/>
    <x v="2"/>
    <x v="8"/>
    <x v="1"/>
    <x v="7"/>
    <x v="3"/>
    <x v="1"/>
    <x v="1"/>
    <x v="2"/>
  </r>
  <r>
    <x v="33"/>
    <x v="31"/>
    <x v="10"/>
    <x v="7"/>
    <x v="10"/>
    <x v="2"/>
    <x v="22"/>
    <x v="10"/>
    <x v="0"/>
    <x v="1"/>
    <x v="2"/>
    <x v="1"/>
    <x v="4"/>
  </r>
  <r>
    <x v="34"/>
    <x v="32"/>
    <x v="5"/>
    <x v="4"/>
    <x v="5"/>
    <x v="0"/>
    <x v="7"/>
    <x v="12"/>
    <x v="11"/>
    <x v="1"/>
    <x v="2"/>
    <x v="2"/>
    <x v="1"/>
  </r>
  <r>
    <x v="35"/>
    <x v="33"/>
    <x v="13"/>
    <x v="2"/>
    <x v="12"/>
    <x v="3"/>
    <x v="23"/>
    <x v="5"/>
    <x v="4"/>
    <x v="3"/>
    <x v="0"/>
    <x v="1"/>
    <x v="6"/>
  </r>
  <r>
    <x v="36"/>
    <x v="34"/>
    <x v="12"/>
    <x v="2"/>
    <x v="2"/>
    <x v="0"/>
    <x v="5"/>
    <x v="2"/>
    <x v="7"/>
    <x v="1"/>
    <x v="0"/>
    <x v="2"/>
    <x v="4"/>
  </r>
  <r>
    <x v="37"/>
    <x v="35"/>
    <x v="13"/>
    <x v="2"/>
    <x v="12"/>
    <x v="1"/>
    <x v="24"/>
    <x v="10"/>
    <x v="5"/>
    <x v="0"/>
    <x v="0"/>
    <x v="2"/>
    <x v="2"/>
  </r>
  <r>
    <x v="38"/>
    <x v="36"/>
    <x v="5"/>
    <x v="4"/>
    <x v="5"/>
    <x v="0"/>
    <x v="7"/>
    <x v="5"/>
    <x v="5"/>
    <x v="3"/>
    <x v="0"/>
    <x v="3"/>
    <x v="3"/>
  </r>
  <r>
    <x v="39"/>
    <x v="37"/>
    <x v="13"/>
    <x v="2"/>
    <x v="12"/>
    <x v="2"/>
    <x v="25"/>
    <x v="6"/>
    <x v="2"/>
    <x v="4"/>
    <x v="1"/>
    <x v="2"/>
    <x v="6"/>
  </r>
  <r>
    <x v="40"/>
    <x v="38"/>
    <x v="13"/>
    <x v="2"/>
    <x v="12"/>
    <x v="4"/>
    <x v="26"/>
    <x v="8"/>
    <x v="5"/>
    <x v="0"/>
    <x v="0"/>
    <x v="2"/>
    <x v="0"/>
  </r>
  <r>
    <x v="41"/>
    <x v="19"/>
    <x v="5"/>
    <x v="4"/>
    <x v="5"/>
    <x v="1"/>
    <x v="27"/>
    <x v="4"/>
    <x v="6"/>
    <x v="3"/>
    <x v="2"/>
    <x v="2"/>
    <x v="5"/>
  </r>
  <r>
    <x v="42"/>
    <x v="39"/>
    <x v="2"/>
    <x v="2"/>
    <x v="2"/>
    <x v="0"/>
    <x v="5"/>
    <x v="6"/>
    <x v="4"/>
    <x v="1"/>
    <x v="1"/>
    <x v="3"/>
    <x v="0"/>
  </r>
  <r>
    <x v="43"/>
    <x v="40"/>
    <x v="11"/>
    <x v="6"/>
    <x v="11"/>
    <x v="3"/>
    <x v="28"/>
    <x v="5"/>
    <x v="5"/>
    <x v="1"/>
    <x v="2"/>
    <x v="5"/>
    <x v="5"/>
  </r>
  <r>
    <x v="44"/>
    <x v="41"/>
    <x v="11"/>
    <x v="6"/>
    <x v="11"/>
    <x v="4"/>
    <x v="29"/>
    <x v="4"/>
    <x v="6"/>
    <x v="3"/>
    <x v="0"/>
    <x v="0"/>
    <x v="2"/>
  </r>
  <r>
    <x v="45"/>
    <x v="42"/>
    <x v="7"/>
    <x v="2"/>
    <x v="7"/>
    <x v="4"/>
    <x v="30"/>
    <x v="2"/>
    <x v="6"/>
    <x v="4"/>
    <x v="1"/>
    <x v="0"/>
    <x v="6"/>
  </r>
  <r>
    <x v="46"/>
    <x v="43"/>
    <x v="4"/>
    <x v="3"/>
    <x v="4"/>
    <x v="0"/>
    <x v="31"/>
    <x v="13"/>
    <x v="9"/>
    <x v="2"/>
    <x v="0"/>
    <x v="2"/>
    <x v="6"/>
  </r>
  <r>
    <x v="47"/>
    <x v="44"/>
    <x v="13"/>
    <x v="2"/>
    <x v="12"/>
    <x v="2"/>
    <x v="25"/>
    <x v="12"/>
    <x v="3"/>
    <x v="2"/>
    <x v="0"/>
    <x v="0"/>
    <x v="0"/>
  </r>
  <r>
    <x v="48"/>
    <x v="45"/>
    <x v="14"/>
    <x v="2"/>
    <x v="13"/>
    <x v="2"/>
    <x v="32"/>
    <x v="13"/>
    <x v="10"/>
    <x v="2"/>
    <x v="2"/>
    <x v="0"/>
    <x v="1"/>
  </r>
  <r>
    <x v="49"/>
    <x v="46"/>
    <x v="10"/>
    <x v="7"/>
    <x v="10"/>
    <x v="0"/>
    <x v="33"/>
    <x v="7"/>
    <x v="10"/>
    <x v="1"/>
    <x v="0"/>
    <x v="5"/>
    <x v="3"/>
  </r>
  <r>
    <x v="50"/>
    <x v="46"/>
    <x v="7"/>
    <x v="2"/>
    <x v="7"/>
    <x v="0"/>
    <x v="10"/>
    <x v="9"/>
    <x v="8"/>
    <x v="2"/>
    <x v="0"/>
    <x v="5"/>
    <x v="3"/>
  </r>
  <r>
    <x v="51"/>
    <x v="47"/>
    <x v="6"/>
    <x v="5"/>
    <x v="6"/>
    <x v="1"/>
    <x v="34"/>
    <x v="3"/>
    <x v="4"/>
    <x v="3"/>
    <x v="0"/>
    <x v="2"/>
    <x v="0"/>
  </r>
  <r>
    <x v="52"/>
    <x v="48"/>
    <x v="14"/>
    <x v="2"/>
    <x v="13"/>
    <x v="4"/>
    <x v="35"/>
    <x v="12"/>
    <x v="4"/>
    <x v="4"/>
    <x v="0"/>
    <x v="4"/>
    <x v="6"/>
  </r>
  <r>
    <x v="53"/>
    <x v="49"/>
    <x v="7"/>
    <x v="2"/>
    <x v="7"/>
    <x v="4"/>
    <x v="30"/>
    <x v="8"/>
    <x v="11"/>
    <x v="4"/>
    <x v="2"/>
    <x v="1"/>
    <x v="4"/>
  </r>
  <r>
    <x v="54"/>
    <x v="50"/>
    <x v="0"/>
    <x v="0"/>
    <x v="0"/>
    <x v="3"/>
    <x v="36"/>
    <x v="10"/>
    <x v="1"/>
    <x v="4"/>
    <x v="0"/>
    <x v="4"/>
    <x v="0"/>
  </r>
  <r>
    <x v="55"/>
    <x v="51"/>
    <x v="12"/>
    <x v="2"/>
    <x v="2"/>
    <x v="2"/>
    <x v="8"/>
    <x v="0"/>
    <x v="5"/>
    <x v="1"/>
    <x v="1"/>
    <x v="3"/>
    <x v="0"/>
  </r>
  <r>
    <x v="56"/>
    <x v="52"/>
    <x v="4"/>
    <x v="3"/>
    <x v="4"/>
    <x v="2"/>
    <x v="37"/>
    <x v="4"/>
    <x v="0"/>
    <x v="1"/>
    <x v="0"/>
    <x v="4"/>
    <x v="2"/>
  </r>
  <r>
    <x v="57"/>
    <x v="53"/>
    <x v="4"/>
    <x v="3"/>
    <x v="4"/>
    <x v="0"/>
    <x v="31"/>
    <x v="4"/>
    <x v="1"/>
    <x v="1"/>
    <x v="0"/>
    <x v="3"/>
    <x v="3"/>
  </r>
  <r>
    <x v="58"/>
    <x v="21"/>
    <x v="9"/>
    <x v="6"/>
    <x v="9"/>
    <x v="3"/>
    <x v="12"/>
    <x v="2"/>
    <x v="5"/>
    <x v="2"/>
    <x v="2"/>
    <x v="1"/>
    <x v="4"/>
  </r>
  <r>
    <x v="59"/>
    <x v="10"/>
    <x v="2"/>
    <x v="2"/>
    <x v="2"/>
    <x v="4"/>
    <x v="38"/>
    <x v="6"/>
    <x v="6"/>
    <x v="4"/>
    <x v="2"/>
    <x v="4"/>
    <x v="0"/>
  </r>
  <r>
    <x v="60"/>
    <x v="54"/>
    <x v="2"/>
    <x v="2"/>
    <x v="2"/>
    <x v="3"/>
    <x v="13"/>
    <x v="2"/>
    <x v="1"/>
    <x v="4"/>
    <x v="0"/>
    <x v="4"/>
    <x v="6"/>
  </r>
  <r>
    <x v="61"/>
    <x v="55"/>
    <x v="6"/>
    <x v="5"/>
    <x v="6"/>
    <x v="3"/>
    <x v="39"/>
    <x v="14"/>
    <x v="6"/>
    <x v="3"/>
    <x v="0"/>
    <x v="2"/>
    <x v="4"/>
  </r>
  <r>
    <x v="62"/>
    <x v="17"/>
    <x v="8"/>
    <x v="3"/>
    <x v="8"/>
    <x v="2"/>
    <x v="40"/>
    <x v="5"/>
    <x v="2"/>
    <x v="1"/>
    <x v="1"/>
    <x v="5"/>
    <x v="2"/>
  </r>
  <r>
    <x v="63"/>
    <x v="56"/>
    <x v="3"/>
    <x v="2"/>
    <x v="3"/>
    <x v="3"/>
    <x v="41"/>
    <x v="12"/>
    <x v="8"/>
    <x v="3"/>
    <x v="2"/>
    <x v="0"/>
    <x v="5"/>
  </r>
  <r>
    <x v="64"/>
    <x v="50"/>
    <x v="14"/>
    <x v="2"/>
    <x v="13"/>
    <x v="3"/>
    <x v="42"/>
    <x v="11"/>
    <x v="2"/>
    <x v="2"/>
    <x v="1"/>
    <x v="4"/>
    <x v="0"/>
  </r>
  <r>
    <x v="65"/>
    <x v="57"/>
    <x v="6"/>
    <x v="5"/>
    <x v="6"/>
    <x v="4"/>
    <x v="43"/>
    <x v="13"/>
    <x v="9"/>
    <x v="1"/>
    <x v="0"/>
    <x v="1"/>
    <x v="5"/>
  </r>
  <r>
    <x v="66"/>
    <x v="32"/>
    <x v="7"/>
    <x v="2"/>
    <x v="7"/>
    <x v="0"/>
    <x v="10"/>
    <x v="0"/>
    <x v="11"/>
    <x v="3"/>
    <x v="0"/>
    <x v="2"/>
    <x v="1"/>
  </r>
  <r>
    <x v="67"/>
    <x v="54"/>
    <x v="7"/>
    <x v="2"/>
    <x v="7"/>
    <x v="3"/>
    <x v="44"/>
    <x v="9"/>
    <x v="7"/>
    <x v="1"/>
    <x v="2"/>
    <x v="4"/>
    <x v="6"/>
  </r>
  <r>
    <x v="68"/>
    <x v="58"/>
    <x v="12"/>
    <x v="2"/>
    <x v="2"/>
    <x v="0"/>
    <x v="5"/>
    <x v="11"/>
    <x v="4"/>
    <x v="1"/>
    <x v="2"/>
    <x v="3"/>
    <x v="1"/>
  </r>
  <r>
    <x v="69"/>
    <x v="59"/>
    <x v="1"/>
    <x v="1"/>
    <x v="1"/>
    <x v="0"/>
    <x v="1"/>
    <x v="9"/>
    <x v="1"/>
    <x v="4"/>
    <x v="0"/>
    <x v="3"/>
    <x v="6"/>
  </r>
  <r>
    <x v="70"/>
    <x v="60"/>
    <x v="3"/>
    <x v="2"/>
    <x v="3"/>
    <x v="0"/>
    <x v="18"/>
    <x v="1"/>
    <x v="11"/>
    <x v="2"/>
    <x v="0"/>
    <x v="0"/>
    <x v="1"/>
  </r>
  <r>
    <x v="71"/>
    <x v="21"/>
    <x v="0"/>
    <x v="0"/>
    <x v="0"/>
    <x v="4"/>
    <x v="45"/>
    <x v="3"/>
    <x v="1"/>
    <x v="0"/>
    <x v="1"/>
    <x v="1"/>
    <x v="4"/>
  </r>
  <r>
    <x v="72"/>
    <x v="61"/>
    <x v="0"/>
    <x v="0"/>
    <x v="0"/>
    <x v="0"/>
    <x v="0"/>
    <x v="7"/>
    <x v="8"/>
    <x v="0"/>
    <x v="0"/>
    <x v="5"/>
    <x v="1"/>
  </r>
  <r>
    <x v="73"/>
    <x v="62"/>
    <x v="5"/>
    <x v="4"/>
    <x v="5"/>
    <x v="1"/>
    <x v="27"/>
    <x v="4"/>
    <x v="4"/>
    <x v="1"/>
    <x v="0"/>
    <x v="4"/>
    <x v="3"/>
  </r>
  <r>
    <x v="74"/>
    <x v="63"/>
    <x v="4"/>
    <x v="3"/>
    <x v="4"/>
    <x v="2"/>
    <x v="37"/>
    <x v="0"/>
    <x v="6"/>
    <x v="1"/>
    <x v="0"/>
    <x v="5"/>
    <x v="4"/>
  </r>
  <r>
    <x v="75"/>
    <x v="20"/>
    <x v="1"/>
    <x v="1"/>
    <x v="1"/>
    <x v="4"/>
    <x v="21"/>
    <x v="8"/>
    <x v="6"/>
    <x v="3"/>
    <x v="0"/>
    <x v="4"/>
    <x v="1"/>
  </r>
  <r>
    <x v="76"/>
    <x v="64"/>
    <x v="10"/>
    <x v="7"/>
    <x v="10"/>
    <x v="3"/>
    <x v="14"/>
    <x v="11"/>
    <x v="4"/>
    <x v="1"/>
    <x v="2"/>
    <x v="0"/>
    <x v="3"/>
  </r>
  <r>
    <x v="77"/>
    <x v="65"/>
    <x v="6"/>
    <x v="5"/>
    <x v="6"/>
    <x v="0"/>
    <x v="9"/>
    <x v="4"/>
    <x v="5"/>
    <x v="2"/>
    <x v="2"/>
    <x v="2"/>
    <x v="4"/>
  </r>
  <r>
    <x v="78"/>
    <x v="28"/>
    <x v="1"/>
    <x v="1"/>
    <x v="1"/>
    <x v="3"/>
    <x v="46"/>
    <x v="7"/>
    <x v="6"/>
    <x v="2"/>
    <x v="0"/>
    <x v="4"/>
    <x v="3"/>
  </r>
  <r>
    <x v="79"/>
    <x v="66"/>
    <x v="11"/>
    <x v="6"/>
    <x v="11"/>
    <x v="1"/>
    <x v="20"/>
    <x v="2"/>
    <x v="7"/>
    <x v="1"/>
    <x v="2"/>
    <x v="4"/>
    <x v="2"/>
  </r>
  <r>
    <x v="80"/>
    <x v="67"/>
    <x v="3"/>
    <x v="2"/>
    <x v="3"/>
    <x v="1"/>
    <x v="47"/>
    <x v="8"/>
    <x v="8"/>
    <x v="2"/>
    <x v="0"/>
    <x v="1"/>
    <x v="5"/>
  </r>
  <r>
    <x v="81"/>
    <x v="68"/>
    <x v="2"/>
    <x v="2"/>
    <x v="2"/>
    <x v="0"/>
    <x v="5"/>
    <x v="0"/>
    <x v="1"/>
    <x v="0"/>
    <x v="0"/>
    <x v="4"/>
    <x v="4"/>
  </r>
  <r>
    <x v="82"/>
    <x v="69"/>
    <x v="10"/>
    <x v="7"/>
    <x v="10"/>
    <x v="4"/>
    <x v="48"/>
    <x v="12"/>
    <x v="6"/>
    <x v="3"/>
    <x v="1"/>
    <x v="2"/>
    <x v="0"/>
  </r>
  <r>
    <x v="83"/>
    <x v="32"/>
    <x v="11"/>
    <x v="6"/>
    <x v="11"/>
    <x v="3"/>
    <x v="28"/>
    <x v="7"/>
    <x v="3"/>
    <x v="1"/>
    <x v="2"/>
    <x v="2"/>
    <x v="1"/>
  </r>
  <r>
    <x v="84"/>
    <x v="70"/>
    <x v="4"/>
    <x v="3"/>
    <x v="4"/>
    <x v="3"/>
    <x v="49"/>
    <x v="5"/>
    <x v="4"/>
    <x v="2"/>
    <x v="1"/>
    <x v="5"/>
    <x v="6"/>
  </r>
  <r>
    <x v="85"/>
    <x v="39"/>
    <x v="8"/>
    <x v="3"/>
    <x v="8"/>
    <x v="4"/>
    <x v="50"/>
    <x v="0"/>
    <x v="8"/>
    <x v="0"/>
    <x v="2"/>
    <x v="3"/>
    <x v="0"/>
  </r>
  <r>
    <x v="86"/>
    <x v="71"/>
    <x v="6"/>
    <x v="5"/>
    <x v="6"/>
    <x v="2"/>
    <x v="51"/>
    <x v="2"/>
    <x v="6"/>
    <x v="4"/>
    <x v="1"/>
    <x v="4"/>
    <x v="5"/>
  </r>
  <r>
    <x v="87"/>
    <x v="72"/>
    <x v="2"/>
    <x v="2"/>
    <x v="2"/>
    <x v="1"/>
    <x v="2"/>
    <x v="0"/>
    <x v="3"/>
    <x v="3"/>
    <x v="2"/>
    <x v="4"/>
    <x v="1"/>
  </r>
  <r>
    <x v="88"/>
    <x v="73"/>
    <x v="1"/>
    <x v="1"/>
    <x v="1"/>
    <x v="2"/>
    <x v="52"/>
    <x v="14"/>
    <x v="7"/>
    <x v="3"/>
    <x v="1"/>
    <x v="3"/>
    <x v="2"/>
  </r>
  <r>
    <x v="89"/>
    <x v="45"/>
    <x v="1"/>
    <x v="1"/>
    <x v="1"/>
    <x v="3"/>
    <x v="46"/>
    <x v="11"/>
    <x v="2"/>
    <x v="4"/>
    <x v="0"/>
    <x v="0"/>
    <x v="1"/>
  </r>
  <r>
    <x v="90"/>
    <x v="74"/>
    <x v="5"/>
    <x v="4"/>
    <x v="5"/>
    <x v="2"/>
    <x v="53"/>
    <x v="5"/>
    <x v="5"/>
    <x v="1"/>
    <x v="2"/>
    <x v="2"/>
    <x v="4"/>
  </r>
  <r>
    <x v="91"/>
    <x v="30"/>
    <x v="2"/>
    <x v="2"/>
    <x v="2"/>
    <x v="4"/>
    <x v="38"/>
    <x v="6"/>
    <x v="7"/>
    <x v="0"/>
    <x v="0"/>
    <x v="1"/>
    <x v="2"/>
  </r>
  <r>
    <x v="92"/>
    <x v="75"/>
    <x v="6"/>
    <x v="5"/>
    <x v="6"/>
    <x v="1"/>
    <x v="34"/>
    <x v="3"/>
    <x v="9"/>
    <x v="1"/>
    <x v="1"/>
    <x v="4"/>
    <x v="0"/>
  </r>
  <r>
    <x v="93"/>
    <x v="76"/>
    <x v="10"/>
    <x v="7"/>
    <x v="10"/>
    <x v="2"/>
    <x v="22"/>
    <x v="3"/>
    <x v="9"/>
    <x v="1"/>
    <x v="0"/>
    <x v="3"/>
    <x v="5"/>
  </r>
  <r>
    <x v="94"/>
    <x v="77"/>
    <x v="7"/>
    <x v="2"/>
    <x v="7"/>
    <x v="4"/>
    <x v="30"/>
    <x v="13"/>
    <x v="1"/>
    <x v="1"/>
    <x v="2"/>
    <x v="4"/>
    <x v="6"/>
  </r>
  <r>
    <x v="95"/>
    <x v="78"/>
    <x v="7"/>
    <x v="2"/>
    <x v="7"/>
    <x v="2"/>
    <x v="54"/>
    <x v="13"/>
    <x v="7"/>
    <x v="2"/>
    <x v="0"/>
    <x v="5"/>
    <x v="1"/>
  </r>
  <r>
    <x v="96"/>
    <x v="55"/>
    <x v="1"/>
    <x v="1"/>
    <x v="1"/>
    <x v="4"/>
    <x v="21"/>
    <x v="12"/>
    <x v="8"/>
    <x v="4"/>
    <x v="2"/>
    <x v="2"/>
    <x v="4"/>
  </r>
  <r>
    <x v="97"/>
    <x v="79"/>
    <x v="9"/>
    <x v="6"/>
    <x v="9"/>
    <x v="2"/>
    <x v="55"/>
    <x v="10"/>
    <x v="1"/>
    <x v="0"/>
    <x v="0"/>
    <x v="4"/>
    <x v="6"/>
  </r>
  <r>
    <x v="98"/>
    <x v="30"/>
    <x v="12"/>
    <x v="2"/>
    <x v="2"/>
    <x v="3"/>
    <x v="13"/>
    <x v="14"/>
    <x v="1"/>
    <x v="0"/>
    <x v="0"/>
    <x v="1"/>
    <x v="2"/>
  </r>
  <r>
    <x v="99"/>
    <x v="58"/>
    <x v="14"/>
    <x v="2"/>
    <x v="13"/>
    <x v="4"/>
    <x v="35"/>
    <x v="12"/>
    <x v="7"/>
    <x v="1"/>
    <x v="0"/>
    <x v="3"/>
    <x v="1"/>
  </r>
  <r>
    <x v="100"/>
    <x v="80"/>
    <x v="11"/>
    <x v="6"/>
    <x v="11"/>
    <x v="3"/>
    <x v="28"/>
    <x v="10"/>
    <x v="1"/>
    <x v="3"/>
    <x v="2"/>
    <x v="4"/>
    <x v="0"/>
  </r>
  <r>
    <x v="101"/>
    <x v="13"/>
    <x v="14"/>
    <x v="2"/>
    <x v="13"/>
    <x v="2"/>
    <x v="32"/>
    <x v="13"/>
    <x v="8"/>
    <x v="3"/>
    <x v="0"/>
    <x v="1"/>
    <x v="0"/>
  </r>
  <r>
    <x v="102"/>
    <x v="15"/>
    <x v="1"/>
    <x v="1"/>
    <x v="1"/>
    <x v="4"/>
    <x v="21"/>
    <x v="0"/>
    <x v="9"/>
    <x v="1"/>
    <x v="0"/>
    <x v="2"/>
    <x v="2"/>
  </r>
  <r>
    <x v="103"/>
    <x v="20"/>
    <x v="9"/>
    <x v="6"/>
    <x v="9"/>
    <x v="2"/>
    <x v="55"/>
    <x v="3"/>
    <x v="10"/>
    <x v="3"/>
    <x v="0"/>
    <x v="4"/>
    <x v="1"/>
  </r>
  <r>
    <x v="104"/>
    <x v="81"/>
    <x v="14"/>
    <x v="2"/>
    <x v="13"/>
    <x v="3"/>
    <x v="42"/>
    <x v="13"/>
    <x v="11"/>
    <x v="3"/>
    <x v="0"/>
    <x v="2"/>
    <x v="0"/>
  </r>
  <r>
    <x v="105"/>
    <x v="82"/>
    <x v="14"/>
    <x v="2"/>
    <x v="13"/>
    <x v="4"/>
    <x v="35"/>
    <x v="11"/>
    <x v="11"/>
    <x v="3"/>
    <x v="2"/>
    <x v="0"/>
    <x v="3"/>
  </r>
  <r>
    <x v="106"/>
    <x v="54"/>
    <x v="6"/>
    <x v="5"/>
    <x v="6"/>
    <x v="0"/>
    <x v="9"/>
    <x v="14"/>
    <x v="8"/>
    <x v="4"/>
    <x v="0"/>
    <x v="4"/>
    <x v="6"/>
  </r>
  <r>
    <x v="107"/>
    <x v="83"/>
    <x v="13"/>
    <x v="2"/>
    <x v="12"/>
    <x v="3"/>
    <x v="23"/>
    <x v="14"/>
    <x v="0"/>
    <x v="2"/>
    <x v="0"/>
    <x v="1"/>
    <x v="3"/>
  </r>
  <r>
    <x v="108"/>
    <x v="35"/>
    <x v="6"/>
    <x v="5"/>
    <x v="6"/>
    <x v="2"/>
    <x v="51"/>
    <x v="8"/>
    <x v="11"/>
    <x v="0"/>
    <x v="0"/>
    <x v="2"/>
    <x v="2"/>
  </r>
  <r>
    <x v="109"/>
    <x v="80"/>
    <x v="2"/>
    <x v="2"/>
    <x v="2"/>
    <x v="4"/>
    <x v="38"/>
    <x v="5"/>
    <x v="6"/>
    <x v="1"/>
    <x v="0"/>
    <x v="4"/>
    <x v="0"/>
  </r>
  <r>
    <x v="110"/>
    <x v="55"/>
    <x v="6"/>
    <x v="5"/>
    <x v="6"/>
    <x v="2"/>
    <x v="51"/>
    <x v="9"/>
    <x v="11"/>
    <x v="1"/>
    <x v="2"/>
    <x v="2"/>
    <x v="4"/>
  </r>
  <r>
    <x v="111"/>
    <x v="84"/>
    <x v="1"/>
    <x v="1"/>
    <x v="1"/>
    <x v="2"/>
    <x v="52"/>
    <x v="0"/>
    <x v="6"/>
    <x v="3"/>
    <x v="0"/>
    <x v="0"/>
    <x v="5"/>
  </r>
  <r>
    <x v="112"/>
    <x v="85"/>
    <x v="1"/>
    <x v="1"/>
    <x v="1"/>
    <x v="4"/>
    <x v="21"/>
    <x v="8"/>
    <x v="4"/>
    <x v="3"/>
    <x v="0"/>
    <x v="2"/>
    <x v="2"/>
  </r>
  <r>
    <x v="113"/>
    <x v="86"/>
    <x v="14"/>
    <x v="2"/>
    <x v="13"/>
    <x v="4"/>
    <x v="35"/>
    <x v="0"/>
    <x v="10"/>
    <x v="1"/>
    <x v="0"/>
    <x v="4"/>
    <x v="2"/>
  </r>
  <r>
    <x v="114"/>
    <x v="3"/>
    <x v="6"/>
    <x v="5"/>
    <x v="6"/>
    <x v="2"/>
    <x v="51"/>
    <x v="9"/>
    <x v="2"/>
    <x v="0"/>
    <x v="0"/>
    <x v="0"/>
    <x v="2"/>
  </r>
  <r>
    <x v="115"/>
    <x v="87"/>
    <x v="11"/>
    <x v="6"/>
    <x v="11"/>
    <x v="1"/>
    <x v="20"/>
    <x v="3"/>
    <x v="5"/>
    <x v="2"/>
    <x v="0"/>
    <x v="5"/>
    <x v="4"/>
  </r>
  <r>
    <x v="116"/>
    <x v="88"/>
    <x v="1"/>
    <x v="1"/>
    <x v="1"/>
    <x v="4"/>
    <x v="21"/>
    <x v="9"/>
    <x v="0"/>
    <x v="2"/>
    <x v="2"/>
    <x v="2"/>
    <x v="5"/>
  </r>
  <r>
    <x v="117"/>
    <x v="89"/>
    <x v="9"/>
    <x v="6"/>
    <x v="9"/>
    <x v="2"/>
    <x v="55"/>
    <x v="12"/>
    <x v="3"/>
    <x v="0"/>
    <x v="0"/>
    <x v="5"/>
    <x v="2"/>
  </r>
  <r>
    <x v="118"/>
    <x v="17"/>
    <x v="12"/>
    <x v="2"/>
    <x v="2"/>
    <x v="2"/>
    <x v="8"/>
    <x v="3"/>
    <x v="3"/>
    <x v="0"/>
    <x v="0"/>
    <x v="5"/>
    <x v="2"/>
  </r>
  <r>
    <x v="119"/>
    <x v="90"/>
    <x v="11"/>
    <x v="6"/>
    <x v="11"/>
    <x v="3"/>
    <x v="28"/>
    <x v="8"/>
    <x v="9"/>
    <x v="0"/>
    <x v="0"/>
    <x v="3"/>
    <x v="5"/>
  </r>
  <r>
    <x v="120"/>
    <x v="91"/>
    <x v="0"/>
    <x v="0"/>
    <x v="0"/>
    <x v="1"/>
    <x v="56"/>
    <x v="12"/>
    <x v="3"/>
    <x v="2"/>
    <x v="2"/>
    <x v="0"/>
    <x v="2"/>
  </r>
  <r>
    <x v="121"/>
    <x v="75"/>
    <x v="9"/>
    <x v="6"/>
    <x v="9"/>
    <x v="4"/>
    <x v="57"/>
    <x v="13"/>
    <x v="2"/>
    <x v="0"/>
    <x v="0"/>
    <x v="4"/>
    <x v="0"/>
  </r>
  <r>
    <x v="122"/>
    <x v="32"/>
    <x v="13"/>
    <x v="2"/>
    <x v="12"/>
    <x v="1"/>
    <x v="24"/>
    <x v="2"/>
    <x v="0"/>
    <x v="4"/>
    <x v="0"/>
    <x v="2"/>
    <x v="1"/>
  </r>
  <r>
    <x v="123"/>
    <x v="49"/>
    <x v="9"/>
    <x v="6"/>
    <x v="9"/>
    <x v="1"/>
    <x v="17"/>
    <x v="10"/>
    <x v="6"/>
    <x v="0"/>
    <x v="1"/>
    <x v="1"/>
    <x v="4"/>
  </r>
  <r>
    <x v="124"/>
    <x v="91"/>
    <x v="5"/>
    <x v="4"/>
    <x v="5"/>
    <x v="0"/>
    <x v="7"/>
    <x v="11"/>
    <x v="5"/>
    <x v="0"/>
    <x v="0"/>
    <x v="0"/>
    <x v="2"/>
  </r>
  <r>
    <x v="125"/>
    <x v="41"/>
    <x v="14"/>
    <x v="2"/>
    <x v="13"/>
    <x v="4"/>
    <x v="35"/>
    <x v="12"/>
    <x v="2"/>
    <x v="3"/>
    <x v="2"/>
    <x v="0"/>
    <x v="2"/>
  </r>
  <r>
    <x v="126"/>
    <x v="55"/>
    <x v="10"/>
    <x v="7"/>
    <x v="10"/>
    <x v="2"/>
    <x v="22"/>
    <x v="14"/>
    <x v="5"/>
    <x v="0"/>
    <x v="0"/>
    <x v="2"/>
    <x v="4"/>
  </r>
  <r>
    <x v="127"/>
    <x v="74"/>
    <x v="5"/>
    <x v="4"/>
    <x v="5"/>
    <x v="4"/>
    <x v="58"/>
    <x v="2"/>
    <x v="7"/>
    <x v="2"/>
    <x v="0"/>
    <x v="2"/>
    <x v="4"/>
  </r>
  <r>
    <x v="128"/>
    <x v="72"/>
    <x v="1"/>
    <x v="1"/>
    <x v="1"/>
    <x v="4"/>
    <x v="21"/>
    <x v="12"/>
    <x v="2"/>
    <x v="4"/>
    <x v="0"/>
    <x v="4"/>
    <x v="1"/>
  </r>
  <r>
    <x v="129"/>
    <x v="92"/>
    <x v="1"/>
    <x v="1"/>
    <x v="1"/>
    <x v="1"/>
    <x v="4"/>
    <x v="9"/>
    <x v="11"/>
    <x v="1"/>
    <x v="0"/>
    <x v="0"/>
    <x v="2"/>
  </r>
  <r>
    <x v="130"/>
    <x v="93"/>
    <x v="6"/>
    <x v="5"/>
    <x v="6"/>
    <x v="4"/>
    <x v="43"/>
    <x v="5"/>
    <x v="1"/>
    <x v="0"/>
    <x v="2"/>
    <x v="0"/>
    <x v="4"/>
  </r>
  <r>
    <x v="131"/>
    <x v="94"/>
    <x v="10"/>
    <x v="7"/>
    <x v="10"/>
    <x v="1"/>
    <x v="59"/>
    <x v="14"/>
    <x v="2"/>
    <x v="1"/>
    <x v="0"/>
    <x v="3"/>
    <x v="6"/>
  </r>
  <r>
    <x v="132"/>
    <x v="95"/>
    <x v="3"/>
    <x v="2"/>
    <x v="3"/>
    <x v="3"/>
    <x v="41"/>
    <x v="9"/>
    <x v="1"/>
    <x v="1"/>
    <x v="0"/>
    <x v="5"/>
    <x v="0"/>
  </r>
  <r>
    <x v="133"/>
    <x v="83"/>
    <x v="14"/>
    <x v="2"/>
    <x v="13"/>
    <x v="4"/>
    <x v="35"/>
    <x v="6"/>
    <x v="10"/>
    <x v="1"/>
    <x v="0"/>
    <x v="1"/>
    <x v="3"/>
  </r>
  <r>
    <x v="134"/>
    <x v="96"/>
    <x v="0"/>
    <x v="0"/>
    <x v="0"/>
    <x v="3"/>
    <x v="36"/>
    <x v="4"/>
    <x v="7"/>
    <x v="2"/>
    <x v="2"/>
    <x v="4"/>
    <x v="1"/>
  </r>
  <r>
    <x v="135"/>
    <x v="31"/>
    <x v="0"/>
    <x v="0"/>
    <x v="0"/>
    <x v="2"/>
    <x v="15"/>
    <x v="0"/>
    <x v="5"/>
    <x v="2"/>
    <x v="1"/>
    <x v="1"/>
    <x v="4"/>
  </r>
  <r>
    <x v="136"/>
    <x v="97"/>
    <x v="10"/>
    <x v="7"/>
    <x v="10"/>
    <x v="3"/>
    <x v="14"/>
    <x v="3"/>
    <x v="1"/>
    <x v="3"/>
    <x v="0"/>
    <x v="1"/>
    <x v="6"/>
  </r>
  <r>
    <x v="137"/>
    <x v="80"/>
    <x v="9"/>
    <x v="6"/>
    <x v="9"/>
    <x v="3"/>
    <x v="12"/>
    <x v="4"/>
    <x v="4"/>
    <x v="1"/>
    <x v="0"/>
    <x v="4"/>
    <x v="0"/>
  </r>
  <r>
    <x v="138"/>
    <x v="23"/>
    <x v="7"/>
    <x v="2"/>
    <x v="7"/>
    <x v="2"/>
    <x v="54"/>
    <x v="13"/>
    <x v="9"/>
    <x v="1"/>
    <x v="0"/>
    <x v="3"/>
    <x v="1"/>
  </r>
  <r>
    <x v="139"/>
    <x v="45"/>
    <x v="14"/>
    <x v="2"/>
    <x v="13"/>
    <x v="2"/>
    <x v="32"/>
    <x v="14"/>
    <x v="1"/>
    <x v="3"/>
    <x v="2"/>
    <x v="0"/>
    <x v="1"/>
  </r>
  <r>
    <x v="140"/>
    <x v="41"/>
    <x v="8"/>
    <x v="3"/>
    <x v="8"/>
    <x v="3"/>
    <x v="60"/>
    <x v="7"/>
    <x v="7"/>
    <x v="1"/>
    <x v="0"/>
    <x v="0"/>
    <x v="2"/>
  </r>
  <r>
    <x v="141"/>
    <x v="4"/>
    <x v="5"/>
    <x v="4"/>
    <x v="5"/>
    <x v="4"/>
    <x v="58"/>
    <x v="6"/>
    <x v="5"/>
    <x v="1"/>
    <x v="0"/>
    <x v="2"/>
    <x v="1"/>
  </r>
  <r>
    <x v="142"/>
    <x v="98"/>
    <x v="4"/>
    <x v="3"/>
    <x v="4"/>
    <x v="4"/>
    <x v="61"/>
    <x v="7"/>
    <x v="9"/>
    <x v="2"/>
    <x v="2"/>
    <x v="5"/>
    <x v="5"/>
  </r>
  <r>
    <x v="143"/>
    <x v="11"/>
    <x v="4"/>
    <x v="3"/>
    <x v="4"/>
    <x v="0"/>
    <x v="31"/>
    <x v="12"/>
    <x v="11"/>
    <x v="1"/>
    <x v="2"/>
    <x v="0"/>
    <x v="3"/>
  </r>
  <r>
    <x v="144"/>
    <x v="77"/>
    <x v="6"/>
    <x v="5"/>
    <x v="6"/>
    <x v="4"/>
    <x v="43"/>
    <x v="4"/>
    <x v="11"/>
    <x v="1"/>
    <x v="0"/>
    <x v="4"/>
    <x v="6"/>
  </r>
  <r>
    <x v="145"/>
    <x v="99"/>
    <x v="2"/>
    <x v="2"/>
    <x v="2"/>
    <x v="0"/>
    <x v="5"/>
    <x v="3"/>
    <x v="2"/>
    <x v="4"/>
    <x v="1"/>
    <x v="5"/>
    <x v="1"/>
  </r>
  <r>
    <x v="146"/>
    <x v="100"/>
    <x v="5"/>
    <x v="4"/>
    <x v="5"/>
    <x v="2"/>
    <x v="53"/>
    <x v="10"/>
    <x v="7"/>
    <x v="3"/>
    <x v="2"/>
    <x v="2"/>
    <x v="3"/>
  </r>
  <r>
    <x v="147"/>
    <x v="23"/>
    <x v="8"/>
    <x v="3"/>
    <x v="8"/>
    <x v="2"/>
    <x v="40"/>
    <x v="1"/>
    <x v="11"/>
    <x v="4"/>
    <x v="0"/>
    <x v="3"/>
    <x v="1"/>
  </r>
  <r>
    <x v="148"/>
    <x v="44"/>
    <x v="0"/>
    <x v="0"/>
    <x v="0"/>
    <x v="1"/>
    <x v="56"/>
    <x v="12"/>
    <x v="2"/>
    <x v="2"/>
    <x v="0"/>
    <x v="0"/>
    <x v="0"/>
  </r>
  <r>
    <x v="149"/>
    <x v="3"/>
    <x v="8"/>
    <x v="3"/>
    <x v="8"/>
    <x v="4"/>
    <x v="50"/>
    <x v="0"/>
    <x v="4"/>
    <x v="1"/>
    <x v="2"/>
    <x v="0"/>
    <x v="2"/>
  </r>
  <r>
    <x v="150"/>
    <x v="101"/>
    <x v="6"/>
    <x v="5"/>
    <x v="6"/>
    <x v="0"/>
    <x v="9"/>
    <x v="8"/>
    <x v="11"/>
    <x v="4"/>
    <x v="0"/>
    <x v="3"/>
    <x v="2"/>
  </r>
  <r>
    <x v="151"/>
    <x v="68"/>
    <x v="7"/>
    <x v="2"/>
    <x v="7"/>
    <x v="0"/>
    <x v="10"/>
    <x v="5"/>
    <x v="2"/>
    <x v="4"/>
    <x v="0"/>
    <x v="4"/>
    <x v="4"/>
  </r>
  <r>
    <x v="152"/>
    <x v="44"/>
    <x v="1"/>
    <x v="1"/>
    <x v="1"/>
    <x v="0"/>
    <x v="1"/>
    <x v="11"/>
    <x v="7"/>
    <x v="3"/>
    <x v="2"/>
    <x v="0"/>
    <x v="0"/>
  </r>
  <r>
    <x v="153"/>
    <x v="102"/>
    <x v="7"/>
    <x v="2"/>
    <x v="7"/>
    <x v="4"/>
    <x v="30"/>
    <x v="4"/>
    <x v="7"/>
    <x v="0"/>
    <x v="0"/>
    <x v="5"/>
    <x v="3"/>
  </r>
  <r>
    <x v="154"/>
    <x v="34"/>
    <x v="10"/>
    <x v="7"/>
    <x v="10"/>
    <x v="1"/>
    <x v="59"/>
    <x v="14"/>
    <x v="2"/>
    <x v="4"/>
    <x v="0"/>
    <x v="2"/>
    <x v="4"/>
  </r>
  <r>
    <x v="155"/>
    <x v="68"/>
    <x v="8"/>
    <x v="3"/>
    <x v="8"/>
    <x v="3"/>
    <x v="60"/>
    <x v="14"/>
    <x v="5"/>
    <x v="3"/>
    <x v="0"/>
    <x v="4"/>
    <x v="4"/>
  </r>
  <r>
    <x v="156"/>
    <x v="103"/>
    <x v="8"/>
    <x v="3"/>
    <x v="8"/>
    <x v="3"/>
    <x v="60"/>
    <x v="12"/>
    <x v="1"/>
    <x v="1"/>
    <x v="0"/>
    <x v="3"/>
    <x v="5"/>
  </r>
  <r>
    <x v="157"/>
    <x v="104"/>
    <x v="8"/>
    <x v="3"/>
    <x v="8"/>
    <x v="0"/>
    <x v="11"/>
    <x v="11"/>
    <x v="0"/>
    <x v="1"/>
    <x v="0"/>
    <x v="3"/>
    <x v="3"/>
  </r>
  <r>
    <x v="158"/>
    <x v="55"/>
    <x v="6"/>
    <x v="5"/>
    <x v="6"/>
    <x v="3"/>
    <x v="39"/>
    <x v="2"/>
    <x v="0"/>
    <x v="3"/>
    <x v="0"/>
    <x v="2"/>
    <x v="4"/>
  </r>
  <r>
    <x v="159"/>
    <x v="81"/>
    <x v="0"/>
    <x v="0"/>
    <x v="0"/>
    <x v="1"/>
    <x v="56"/>
    <x v="6"/>
    <x v="4"/>
    <x v="1"/>
    <x v="0"/>
    <x v="2"/>
    <x v="0"/>
  </r>
  <r>
    <x v="160"/>
    <x v="105"/>
    <x v="12"/>
    <x v="2"/>
    <x v="2"/>
    <x v="4"/>
    <x v="38"/>
    <x v="9"/>
    <x v="0"/>
    <x v="1"/>
    <x v="0"/>
    <x v="5"/>
    <x v="0"/>
  </r>
  <r>
    <x v="161"/>
    <x v="72"/>
    <x v="2"/>
    <x v="2"/>
    <x v="2"/>
    <x v="1"/>
    <x v="2"/>
    <x v="1"/>
    <x v="4"/>
    <x v="3"/>
    <x v="0"/>
    <x v="4"/>
    <x v="1"/>
  </r>
  <r>
    <x v="162"/>
    <x v="106"/>
    <x v="8"/>
    <x v="3"/>
    <x v="8"/>
    <x v="2"/>
    <x v="40"/>
    <x v="6"/>
    <x v="6"/>
    <x v="1"/>
    <x v="0"/>
    <x v="2"/>
    <x v="2"/>
  </r>
  <r>
    <x v="163"/>
    <x v="107"/>
    <x v="10"/>
    <x v="7"/>
    <x v="10"/>
    <x v="4"/>
    <x v="48"/>
    <x v="11"/>
    <x v="9"/>
    <x v="1"/>
    <x v="2"/>
    <x v="3"/>
    <x v="2"/>
  </r>
  <r>
    <x v="164"/>
    <x v="38"/>
    <x v="3"/>
    <x v="2"/>
    <x v="3"/>
    <x v="0"/>
    <x v="18"/>
    <x v="5"/>
    <x v="3"/>
    <x v="1"/>
    <x v="0"/>
    <x v="2"/>
    <x v="0"/>
  </r>
  <r>
    <x v="165"/>
    <x v="108"/>
    <x v="14"/>
    <x v="2"/>
    <x v="13"/>
    <x v="4"/>
    <x v="35"/>
    <x v="14"/>
    <x v="9"/>
    <x v="4"/>
    <x v="0"/>
    <x v="3"/>
    <x v="1"/>
  </r>
  <r>
    <x v="166"/>
    <x v="75"/>
    <x v="11"/>
    <x v="6"/>
    <x v="11"/>
    <x v="0"/>
    <x v="16"/>
    <x v="12"/>
    <x v="5"/>
    <x v="2"/>
    <x v="2"/>
    <x v="4"/>
    <x v="0"/>
  </r>
  <r>
    <x v="167"/>
    <x v="102"/>
    <x v="7"/>
    <x v="2"/>
    <x v="7"/>
    <x v="3"/>
    <x v="44"/>
    <x v="11"/>
    <x v="1"/>
    <x v="0"/>
    <x v="2"/>
    <x v="5"/>
    <x v="3"/>
  </r>
  <r>
    <x v="168"/>
    <x v="109"/>
    <x v="3"/>
    <x v="2"/>
    <x v="3"/>
    <x v="0"/>
    <x v="18"/>
    <x v="2"/>
    <x v="11"/>
    <x v="1"/>
    <x v="0"/>
    <x v="5"/>
    <x v="1"/>
  </r>
  <r>
    <x v="169"/>
    <x v="21"/>
    <x v="12"/>
    <x v="2"/>
    <x v="2"/>
    <x v="4"/>
    <x v="38"/>
    <x v="7"/>
    <x v="0"/>
    <x v="0"/>
    <x v="2"/>
    <x v="1"/>
    <x v="4"/>
  </r>
  <r>
    <x v="170"/>
    <x v="98"/>
    <x v="2"/>
    <x v="2"/>
    <x v="2"/>
    <x v="0"/>
    <x v="5"/>
    <x v="6"/>
    <x v="4"/>
    <x v="2"/>
    <x v="0"/>
    <x v="5"/>
    <x v="5"/>
  </r>
  <r>
    <x v="171"/>
    <x v="99"/>
    <x v="14"/>
    <x v="2"/>
    <x v="13"/>
    <x v="4"/>
    <x v="35"/>
    <x v="8"/>
    <x v="8"/>
    <x v="2"/>
    <x v="2"/>
    <x v="5"/>
    <x v="1"/>
  </r>
  <r>
    <x v="172"/>
    <x v="67"/>
    <x v="11"/>
    <x v="6"/>
    <x v="11"/>
    <x v="4"/>
    <x v="29"/>
    <x v="7"/>
    <x v="11"/>
    <x v="1"/>
    <x v="2"/>
    <x v="1"/>
    <x v="5"/>
  </r>
  <r>
    <x v="173"/>
    <x v="107"/>
    <x v="1"/>
    <x v="1"/>
    <x v="1"/>
    <x v="0"/>
    <x v="1"/>
    <x v="14"/>
    <x v="6"/>
    <x v="0"/>
    <x v="0"/>
    <x v="3"/>
    <x v="2"/>
  </r>
  <r>
    <x v="174"/>
    <x v="110"/>
    <x v="2"/>
    <x v="2"/>
    <x v="2"/>
    <x v="2"/>
    <x v="8"/>
    <x v="5"/>
    <x v="4"/>
    <x v="4"/>
    <x v="0"/>
    <x v="3"/>
    <x v="4"/>
  </r>
  <r>
    <x v="175"/>
    <x v="111"/>
    <x v="3"/>
    <x v="2"/>
    <x v="3"/>
    <x v="2"/>
    <x v="3"/>
    <x v="7"/>
    <x v="10"/>
    <x v="1"/>
    <x v="0"/>
    <x v="5"/>
    <x v="3"/>
  </r>
  <r>
    <x v="176"/>
    <x v="112"/>
    <x v="2"/>
    <x v="2"/>
    <x v="2"/>
    <x v="4"/>
    <x v="38"/>
    <x v="8"/>
    <x v="2"/>
    <x v="4"/>
    <x v="2"/>
    <x v="5"/>
    <x v="4"/>
  </r>
  <r>
    <x v="177"/>
    <x v="1"/>
    <x v="0"/>
    <x v="0"/>
    <x v="0"/>
    <x v="2"/>
    <x v="15"/>
    <x v="4"/>
    <x v="4"/>
    <x v="2"/>
    <x v="0"/>
    <x v="1"/>
    <x v="1"/>
  </r>
  <r>
    <x v="178"/>
    <x v="113"/>
    <x v="5"/>
    <x v="4"/>
    <x v="5"/>
    <x v="0"/>
    <x v="7"/>
    <x v="3"/>
    <x v="5"/>
    <x v="1"/>
    <x v="0"/>
    <x v="5"/>
    <x v="6"/>
  </r>
  <r>
    <x v="179"/>
    <x v="66"/>
    <x v="9"/>
    <x v="6"/>
    <x v="9"/>
    <x v="1"/>
    <x v="17"/>
    <x v="3"/>
    <x v="4"/>
    <x v="1"/>
    <x v="0"/>
    <x v="4"/>
    <x v="2"/>
  </r>
  <r>
    <x v="180"/>
    <x v="81"/>
    <x v="8"/>
    <x v="3"/>
    <x v="8"/>
    <x v="2"/>
    <x v="40"/>
    <x v="3"/>
    <x v="6"/>
    <x v="1"/>
    <x v="1"/>
    <x v="2"/>
    <x v="0"/>
  </r>
  <r>
    <x v="181"/>
    <x v="114"/>
    <x v="7"/>
    <x v="2"/>
    <x v="7"/>
    <x v="0"/>
    <x v="10"/>
    <x v="10"/>
    <x v="9"/>
    <x v="3"/>
    <x v="0"/>
    <x v="4"/>
    <x v="4"/>
  </r>
  <r>
    <x v="182"/>
    <x v="57"/>
    <x v="11"/>
    <x v="6"/>
    <x v="11"/>
    <x v="1"/>
    <x v="20"/>
    <x v="7"/>
    <x v="1"/>
    <x v="2"/>
    <x v="0"/>
    <x v="1"/>
    <x v="5"/>
  </r>
  <r>
    <x v="183"/>
    <x v="106"/>
    <x v="7"/>
    <x v="2"/>
    <x v="7"/>
    <x v="1"/>
    <x v="62"/>
    <x v="5"/>
    <x v="9"/>
    <x v="3"/>
    <x v="1"/>
    <x v="2"/>
    <x v="2"/>
  </r>
  <r>
    <x v="184"/>
    <x v="0"/>
    <x v="14"/>
    <x v="2"/>
    <x v="13"/>
    <x v="4"/>
    <x v="35"/>
    <x v="13"/>
    <x v="9"/>
    <x v="1"/>
    <x v="1"/>
    <x v="0"/>
    <x v="0"/>
  </r>
  <r>
    <x v="185"/>
    <x v="90"/>
    <x v="14"/>
    <x v="2"/>
    <x v="13"/>
    <x v="3"/>
    <x v="42"/>
    <x v="6"/>
    <x v="5"/>
    <x v="2"/>
    <x v="0"/>
    <x v="3"/>
    <x v="5"/>
  </r>
  <r>
    <x v="186"/>
    <x v="58"/>
    <x v="12"/>
    <x v="2"/>
    <x v="2"/>
    <x v="1"/>
    <x v="2"/>
    <x v="6"/>
    <x v="9"/>
    <x v="2"/>
    <x v="1"/>
    <x v="3"/>
    <x v="1"/>
  </r>
  <r>
    <x v="187"/>
    <x v="52"/>
    <x v="1"/>
    <x v="1"/>
    <x v="1"/>
    <x v="3"/>
    <x v="46"/>
    <x v="6"/>
    <x v="11"/>
    <x v="4"/>
    <x v="0"/>
    <x v="4"/>
    <x v="2"/>
  </r>
  <r>
    <x v="188"/>
    <x v="115"/>
    <x v="5"/>
    <x v="4"/>
    <x v="5"/>
    <x v="0"/>
    <x v="7"/>
    <x v="4"/>
    <x v="7"/>
    <x v="4"/>
    <x v="0"/>
    <x v="2"/>
    <x v="3"/>
  </r>
  <r>
    <x v="189"/>
    <x v="116"/>
    <x v="7"/>
    <x v="2"/>
    <x v="7"/>
    <x v="4"/>
    <x v="30"/>
    <x v="0"/>
    <x v="10"/>
    <x v="1"/>
    <x v="2"/>
    <x v="4"/>
    <x v="0"/>
  </r>
  <r>
    <x v="190"/>
    <x v="117"/>
    <x v="13"/>
    <x v="2"/>
    <x v="12"/>
    <x v="2"/>
    <x v="25"/>
    <x v="14"/>
    <x v="4"/>
    <x v="4"/>
    <x v="0"/>
    <x v="1"/>
    <x v="1"/>
  </r>
  <r>
    <x v="191"/>
    <x v="118"/>
    <x v="3"/>
    <x v="2"/>
    <x v="3"/>
    <x v="0"/>
    <x v="18"/>
    <x v="8"/>
    <x v="7"/>
    <x v="2"/>
    <x v="0"/>
    <x v="1"/>
    <x v="1"/>
  </r>
  <r>
    <x v="192"/>
    <x v="119"/>
    <x v="5"/>
    <x v="4"/>
    <x v="5"/>
    <x v="4"/>
    <x v="58"/>
    <x v="11"/>
    <x v="10"/>
    <x v="1"/>
    <x v="0"/>
    <x v="0"/>
    <x v="0"/>
  </r>
  <r>
    <x v="193"/>
    <x v="79"/>
    <x v="1"/>
    <x v="1"/>
    <x v="1"/>
    <x v="2"/>
    <x v="52"/>
    <x v="1"/>
    <x v="8"/>
    <x v="0"/>
    <x v="0"/>
    <x v="4"/>
    <x v="6"/>
  </r>
  <r>
    <x v="194"/>
    <x v="45"/>
    <x v="14"/>
    <x v="2"/>
    <x v="13"/>
    <x v="3"/>
    <x v="42"/>
    <x v="14"/>
    <x v="8"/>
    <x v="1"/>
    <x v="0"/>
    <x v="0"/>
    <x v="1"/>
  </r>
  <r>
    <x v="195"/>
    <x v="110"/>
    <x v="11"/>
    <x v="6"/>
    <x v="11"/>
    <x v="4"/>
    <x v="29"/>
    <x v="1"/>
    <x v="2"/>
    <x v="4"/>
    <x v="2"/>
    <x v="3"/>
    <x v="4"/>
  </r>
  <r>
    <x v="196"/>
    <x v="66"/>
    <x v="11"/>
    <x v="6"/>
    <x v="11"/>
    <x v="0"/>
    <x v="16"/>
    <x v="13"/>
    <x v="10"/>
    <x v="4"/>
    <x v="0"/>
    <x v="4"/>
    <x v="2"/>
  </r>
  <r>
    <x v="197"/>
    <x v="120"/>
    <x v="2"/>
    <x v="2"/>
    <x v="2"/>
    <x v="0"/>
    <x v="5"/>
    <x v="4"/>
    <x v="7"/>
    <x v="0"/>
    <x v="0"/>
    <x v="1"/>
    <x v="5"/>
  </r>
  <r>
    <x v="198"/>
    <x v="121"/>
    <x v="13"/>
    <x v="2"/>
    <x v="12"/>
    <x v="4"/>
    <x v="26"/>
    <x v="3"/>
    <x v="1"/>
    <x v="0"/>
    <x v="0"/>
    <x v="1"/>
    <x v="6"/>
  </r>
  <r>
    <x v="199"/>
    <x v="122"/>
    <x v="8"/>
    <x v="3"/>
    <x v="8"/>
    <x v="3"/>
    <x v="60"/>
    <x v="4"/>
    <x v="0"/>
    <x v="0"/>
    <x v="0"/>
    <x v="3"/>
    <x v="2"/>
  </r>
  <r>
    <x v="200"/>
    <x v="55"/>
    <x v="10"/>
    <x v="7"/>
    <x v="10"/>
    <x v="2"/>
    <x v="22"/>
    <x v="5"/>
    <x v="8"/>
    <x v="2"/>
    <x v="0"/>
    <x v="2"/>
    <x v="4"/>
  </r>
  <r>
    <x v="201"/>
    <x v="111"/>
    <x v="12"/>
    <x v="2"/>
    <x v="2"/>
    <x v="2"/>
    <x v="8"/>
    <x v="8"/>
    <x v="3"/>
    <x v="4"/>
    <x v="1"/>
    <x v="5"/>
    <x v="3"/>
  </r>
  <r>
    <x v="202"/>
    <x v="123"/>
    <x v="7"/>
    <x v="2"/>
    <x v="7"/>
    <x v="1"/>
    <x v="62"/>
    <x v="3"/>
    <x v="2"/>
    <x v="1"/>
    <x v="0"/>
    <x v="0"/>
    <x v="5"/>
  </r>
  <r>
    <x v="203"/>
    <x v="43"/>
    <x v="6"/>
    <x v="5"/>
    <x v="6"/>
    <x v="2"/>
    <x v="51"/>
    <x v="8"/>
    <x v="0"/>
    <x v="3"/>
    <x v="1"/>
    <x v="2"/>
    <x v="6"/>
  </r>
  <r>
    <x v="204"/>
    <x v="124"/>
    <x v="12"/>
    <x v="2"/>
    <x v="2"/>
    <x v="2"/>
    <x v="8"/>
    <x v="8"/>
    <x v="11"/>
    <x v="1"/>
    <x v="0"/>
    <x v="4"/>
    <x v="1"/>
  </r>
  <r>
    <x v="205"/>
    <x v="84"/>
    <x v="5"/>
    <x v="4"/>
    <x v="5"/>
    <x v="2"/>
    <x v="53"/>
    <x v="8"/>
    <x v="3"/>
    <x v="0"/>
    <x v="0"/>
    <x v="0"/>
    <x v="5"/>
  </r>
  <r>
    <x v="206"/>
    <x v="113"/>
    <x v="12"/>
    <x v="2"/>
    <x v="2"/>
    <x v="0"/>
    <x v="5"/>
    <x v="3"/>
    <x v="5"/>
    <x v="1"/>
    <x v="2"/>
    <x v="5"/>
    <x v="6"/>
  </r>
  <r>
    <x v="207"/>
    <x v="125"/>
    <x v="0"/>
    <x v="0"/>
    <x v="0"/>
    <x v="0"/>
    <x v="0"/>
    <x v="7"/>
    <x v="8"/>
    <x v="3"/>
    <x v="2"/>
    <x v="1"/>
    <x v="1"/>
  </r>
  <r>
    <x v="208"/>
    <x v="51"/>
    <x v="9"/>
    <x v="6"/>
    <x v="9"/>
    <x v="4"/>
    <x v="57"/>
    <x v="7"/>
    <x v="6"/>
    <x v="4"/>
    <x v="2"/>
    <x v="3"/>
    <x v="0"/>
  </r>
  <r>
    <x v="209"/>
    <x v="117"/>
    <x v="2"/>
    <x v="2"/>
    <x v="2"/>
    <x v="4"/>
    <x v="38"/>
    <x v="1"/>
    <x v="11"/>
    <x v="4"/>
    <x v="0"/>
    <x v="1"/>
    <x v="1"/>
  </r>
  <r>
    <x v="210"/>
    <x v="126"/>
    <x v="3"/>
    <x v="2"/>
    <x v="3"/>
    <x v="1"/>
    <x v="47"/>
    <x v="2"/>
    <x v="8"/>
    <x v="0"/>
    <x v="1"/>
    <x v="5"/>
    <x v="3"/>
  </r>
  <r>
    <x v="211"/>
    <x v="127"/>
    <x v="0"/>
    <x v="0"/>
    <x v="0"/>
    <x v="2"/>
    <x v="15"/>
    <x v="4"/>
    <x v="2"/>
    <x v="1"/>
    <x v="2"/>
    <x v="2"/>
    <x v="4"/>
  </r>
  <r>
    <x v="212"/>
    <x v="78"/>
    <x v="3"/>
    <x v="2"/>
    <x v="3"/>
    <x v="1"/>
    <x v="47"/>
    <x v="10"/>
    <x v="9"/>
    <x v="2"/>
    <x v="0"/>
    <x v="5"/>
    <x v="1"/>
  </r>
  <r>
    <x v="213"/>
    <x v="68"/>
    <x v="9"/>
    <x v="6"/>
    <x v="9"/>
    <x v="2"/>
    <x v="55"/>
    <x v="2"/>
    <x v="5"/>
    <x v="3"/>
    <x v="0"/>
    <x v="4"/>
    <x v="4"/>
  </r>
  <r>
    <x v="214"/>
    <x v="32"/>
    <x v="2"/>
    <x v="2"/>
    <x v="2"/>
    <x v="0"/>
    <x v="5"/>
    <x v="5"/>
    <x v="11"/>
    <x v="2"/>
    <x v="2"/>
    <x v="2"/>
    <x v="1"/>
  </r>
  <r>
    <x v="215"/>
    <x v="128"/>
    <x v="12"/>
    <x v="2"/>
    <x v="2"/>
    <x v="1"/>
    <x v="2"/>
    <x v="6"/>
    <x v="6"/>
    <x v="1"/>
    <x v="0"/>
    <x v="0"/>
    <x v="0"/>
  </r>
  <r>
    <x v="216"/>
    <x v="129"/>
    <x v="8"/>
    <x v="3"/>
    <x v="8"/>
    <x v="4"/>
    <x v="50"/>
    <x v="10"/>
    <x v="2"/>
    <x v="0"/>
    <x v="0"/>
    <x v="3"/>
    <x v="6"/>
  </r>
  <r>
    <x v="217"/>
    <x v="10"/>
    <x v="8"/>
    <x v="3"/>
    <x v="8"/>
    <x v="3"/>
    <x v="60"/>
    <x v="14"/>
    <x v="4"/>
    <x v="1"/>
    <x v="0"/>
    <x v="4"/>
    <x v="0"/>
  </r>
  <r>
    <x v="218"/>
    <x v="17"/>
    <x v="13"/>
    <x v="2"/>
    <x v="12"/>
    <x v="4"/>
    <x v="26"/>
    <x v="9"/>
    <x v="7"/>
    <x v="2"/>
    <x v="0"/>
    <x v="5"/>
    <x v="2"/>
  </r>
  <r>
    <x v="219"/>
    <x v="40"/>
    <x v="3"/>
    <x v="2"/>
    <x v="3"/>
    <x v="2"/>
    <x v="3"/>
    <x v="1"/>
    <x v="6"/>
    <x v="3"/>
    <x v="1"/>
    <x v="5"/>
    <x v="5"/>
  </r>
  <r>
    <x v="220"/>
    <x v="81"/>
    <x v="9"/>
    <x v="6"/>
    <x v="9"/>
    <x v="1"/>
    <x v="17"/>
    <x v="12"/>
    <x v="11"/>
    <x v="0"/>
    <x v="0"/>
    <x v="2"/>
    <x v="0"/>
  </r>
  <r>
    <x v="221"/>
    <x v="8"/>
    <x v="11"/>
    <x v="6"/>
    <x v="11"/>
    <x v="3"/>
    <x v="28"/>
    <x v="2"/>
    <x v="5"/>
    <x v="1"/>
    <x v="0"/>
    <x v="2"/>
    <x v="5"/>
  </r>
  <r>
    <x v="222"/>
    <x v="19"/>
    <x v="1"/>
    <x v="1"/>
    <x v="1"/>
    <x v="4"/>
    <x v="21"/>
    <x v="6"/>
    <x v="2"/>
    <x v="4"/>
    <x v="0"/>
    <x v="2"/>
    <x v="5"/>
  </r>
  <r>
    <x v="223"/>
    <x v="130"/>
    <x v="13"/>
    <x v="2"/>
    <x v="12"/>
    <x v="4"/>
    <x v="26"/>
    <x v="5"/>
    <x v="5"/>
    <x v="1"/>
    <x v="2"/>
    <x v="0"/>
    <x v="6"/>
  </r>
  <r>
    <x v="224"/>
    <x v="96"/>
    <x v="9"/>
    <x v="6"/>
    <x v="9"/>
    <x v="4"/>
    <x v="57"/>
    <x v="14"/>
    <x v="0"/>
    <x v="4"/>
    <x v="0"/>
    <x v="4"/>
    <x v="1"/>
  </r>
  <r>
    <x v="225"/>
    <x v="126"/>
    <x v="12"/>
    <x v="2"/>
    <x v="2"/>
    <x v="0"/>
    <x v="5"/>
    <x v="14"/>
    <x v="1"/>
    <x v="4"/>
    <x v="2"/>
    <x v="5"/>
    <x v="3"/>
  </r>
  <r>
    <x v="226"/>
    <x v="120"/>
    <x v="9"/>
    <x v="6"/>
    <x v="9"/>
    <x v="4"/>
    <x v="57"/>
    <x v="3"/>
    <x v="9"/>
    <x v="1"/>
    <x v="0"/>
    <x v="1"/>
    <x v="5"/>
  </r>
  <r>
    <x v="227"/>
    <x v="59"/>
    <x v="6"/>
    <x v="5"/>
    <x v="6"/>
    <x v="1"/>
    <x v="34"/>
    <x v="8"/>
    <x v="1"/>
    <x v="3"/>
    <x v="0"/>
    <x v="3"/>
    <x v="6"/>
  </r>
  <r>
    <x v="228"/>
    <x v="131"/>
    <x v="8"/>
    <x v="3"/>
    <x v="8"/>
    <x v="3"/>
    <x v="60"/>
    <x v="7"/>
    <x v="10"/>
    <x v="3"/>
    <x v="0"/>
    <x v="0"/>
    <x v="3"/>
  </r>
  <r>
    <x v="229"/>
    <x v="132"/>
    <x v="5"/>
    <x v="4"/>
    <x v="5"/>
    <x v="0"/>
    <x v="7"/>
    <x v="0"/>
    <x v="3"/>
    <x v="4"/>
    <x v="0"/>
    <x v="5"/>
    <x v="0"/>
  </r>
  <r>
    <x v="230"/>
    <x v="122"/>
    <x v="0"/>
    <x v="0"/>
    <x v="0"/>
    <x v="2"/>
    <x v="15"/>
    <x v="8"/>
    <x v="7"/>
    <x v="0"/>
    <x v="1"/>
    <x v="3"/>
    <x v="2"/>
  </r>
  <r>
    <x v="231"/>
    <x v="133"/>
    <x v="14"/>
    <x v="2"/>
    <x v="13"/>
    <x v="4"/>
    <x v="35"/>
    <x v="8"/>
    <x v="2"/>
    <x v="2"/>
    <x v="0"/>
    <x v="2"/>
    <x v="1"/>
  </r>
  <r>
    <x v="232"/>
    <x v="43"/>
    <x v="3"/>
    <x v="2"/>
    <x v="3"/>
    <x v="4"/>
    <x v="63"/>
    <x v="11"/>
    <x v="1"/>
    <x v="4"/>
    <x v="2"/>
    <x v="2"/>
    <x v="6"/>
  </r>
  <r>
    <x v="233"/>
    <x v="65"/>
    <x v="11"/>
    <x v="6"/>
    <x v="11"/>
    <x v="3"/>
    <x v="28"/>
    <x v="6"/>
    <x v="4"/>
    <x v="2"/>
    <x v="2"/>
    <x v="2"/>
    <x v="4"/>
  </r>
  <r>
    <x v="234"/>
    <x v="85"/>
    <x v="6"/>
    <x v="5"/>
    <x v="6"/>
    <x v="3"/>
    <x v="39"/>
    <x v="14"/>
    <x v="2"/>
    <x v="0"/>
    <x v="0"/>
    <x v="2"/>
    <x v="2"/>
  </r>
  <r>
    <x v="235"/>
    <x v="88"/>
    <x v="10"/>
    <x v="7"/>
    <x v="10"/>
    <x v="0"/>
    <x v="33"/>
    <x v="3"/>
    <x v="8"/>
    <x v="1"/>
    <x v="0"/>
    <x v="2"/>
    <x v="5"/>
  </r>
  <r>
    <x v="236"/>
    <x v="38"/>
    <x v="6"/>
    <x v="5"/>
    <x v="6"/>
    <x v="1"/>
    <x v="34"/>
    <x v="8"/>
    <x v="5"/>
    <x v="2"/>
    <x v="0"/>
    <x v="2"/>
    <x v="0"/>
  </r>
  <r>
    <x v="237"/>
    <x v="71"/>
    <x v="3"/>
    <x v="2"/>
    <x v="3"/>
    <x v="3"/>
    <x v="41"/>
    <x v="6"/>
    <x v="7"/>
    <x v="0"/>
    <x v="0"/>
    <x v="4"/>
    <x v="5"/>
  </r>
  <r>
    <x v="238"/>
    <x v="134"/>
    <x v="7"/>
    <x v="2"/>
    <x v="7"/>
    <x v="4"/>
    <x v="30"/>
    <x v="0"/>
    <x v="0"/>
    <x v="2"/>
    <x v="0"/>
    <x v="0"/>
    <x v="3"/>
  </r>
  <r>
    <x v="239"/>
    <x v="109"/>
    <x v="3"/>
    <x v="2"/>
    <x v="3"/>
    <x v="4"/>
    <x v="63"/>
    <x v="13"/>
    <x v="10"/>
    <x v="3"/>
    <x v="0"/>
    <x v="5"/>
    <x v="1"/>
  </r>
  <r>
    <x v="240"/>
    <x v="135"/>
    <x v="13"/>
    <x v="2"/>
    <x v="12"/>
    <x v="4"/>
    <x v="26"/>
    <x v="7"/>
    <x v="3"/>
    <x v="2"/>
    <x v="0"/>
    <x v="3"/>
    <x v="3"/>
  </r>
  <r>
    <x v="241"/>
    <x v="136"/>
    <x v="7"/>
    <x v="2"/>
    <x v="7"/>
    <x v="2"/>
    <x v="54"/>
    <x v="9"/>
    <x v="1"/>
    <x v="3"/>
    <x v="1"/>
    <x v="3"/>
    <x v="1"/>
  </r>
  <r>
    <x v="242"/>
    <x v="10"/>
    <x v="12"/>
    <x v="2"/>
    <x v="2"/>
    <x v="2"/>
    <x v="8"/>
    <x v="2"/>
    <x v="4"/>
    <x v="0"/>
    <x v="2"/>
    <x v="4"/>
    <x v="0"/>
  </r>
  <r>
    <x v="243"/>
    <x v="137"/>
    <x v="7"/>
    <x v="2"/>
    <x v="7"/>
    <x v="1"/>
    <x v="62"/>
    <x v="5"/>
    <x v="6"/>
    <x v="0"/>
    <x v="0"/>
    <x v="4"/>
    <x v="2"/>
  </r>
  <r>
    <x v="244"/>
    <x v="91"/>
    <x v="14"/>
    <x v="2"/>
    <x v="13"/>
    <x v="4"/>
    <x v="35"/>
    <x v="6"/>
    <x v="10"/>
    <x v="2"/>
    <x v="2"/>
    <x v="0"/>
    <x v="2"/>
  </r>
  <r>
    <x v="245"/>
    <x v="92"/>
    <x v="12"/>
    <x v="2"/>
    <x v="2"/>
    <x v="2"/>
    <x v="8"/>
    <x v="14"/>
    <x v="8"/>
    <x v="0"/>
    <x v="0"/>
    <x v="0"/>
    <x v="2"/>
  </r>
  <r>
    <x v="246"/>
    <x v="123"/>
    <x v="11"/>
    <x v="6"/>
    <x v="11"/>
    <x v="3"/>
    <x v="28"/>
    <x v="14"/>
    <x v="2"/>
    <x v="2"/>
    <x v="2"/>
    <x v="0"/>
    <x v="5"/>
  </r>
  <r>
    <x v="247"/>
    <x v="98"/>
    <x v="4"/>
    <x v="3"/>
    <x v="4"/>
    <x v="1"/>
    <x v="6"/>
    <x v="11"/>
    <x v="0"/>
    <x v="4"/>
    <x v="0"/>
    <x v="5"/>
    <x v="5"/>
  </r>
  <r>
    <x v="248"/>
    <x v="1"/>
    <x v="14"/>
    <x v="2"/>
    <x v="13"/>
    <x v="0"/>
    <x v="64"/>
    <x v="1"/>
    <x v="11"/>
    <x v="3"/>
    <x v="0"/>
    <x v="1"/>
    <x v="1"/>
  </r>
  <r>
    <x v="249"/>
    <x v="138"/>
    <x v="6"/>
    <x v="5"/>
    <x v="6"/>
    <x v="3"/>
    <x v="39"/>
    <x v="7"/>
    <x v="4"/>
    <x v="1"/>
    <x v="2"/>
    <x v="0"/>
    <x v="6"/>
  </r>
  <r>
    <x v="250"/>
    <x v="139"/>
    <x v="8"/>
    <x v="3"/>
    <x v="8"/>
    <x v="4"/>
    <x v="50"/>
    <x v="2"/>
    <x v="10"/>
    <x v="4"/>
    <x v="2"/>
    <x v="0"/>
    <x v="6"/>
  </r>
  <r>
    <x v="251"/>
    <x v="8"/>
    <x v="3"/>
    <x v="2"/>
    <x v="3"/>
    <x v="4"/>
    <x v="63"/>
    <x v="6"/>
    <x v="11"/>
    <x v="2"/>
    <x v="0"/>
    <x v="2"/>
    <x v="5"/>
  </r>
  <r>
    <x v="252"/>
    <x v="20"/>
    <x v="14"/>
    <x v="2"/>
    <x v="13"/>
    <x v="4"/>
    <x v="35"/>
    <x v="1"/>
    <x v="7"/>
    <x v="0"/>
    <x v="0"/>
    <x v="4"/>
    <x v="1"/>
  </r>
  <r>
    <x v="253"/>
    <x v="68"/>
    <x v="13"/>
    <x v="2"/>
    <x v="12"/>
    <x v="0"/>
    <x v="65"/>
    <x v="14"/>
    <x v="7"/>
    <x v="3"/>
    <x v="0"/>
    <x v="4"/>
    <x v="4"/>
  </r>
  <r>
    <x v="254"/>
    <x v="3"/>
    <x v="8"/>
    <x v="3"/>
    <x v="8"/>
    <x v="3"/>
    <x v="60"/>
    <x v="11"/>
    <x v="6"/>
    <x v="3"/>
    <x v="2"/>
    <x v="0"/>
    <x v="2"/>
  </r>
  <r>
    <x v="255"/>
    <x v="108"/>
    <x v="1"/>
    <x v="1"/>
    <x v="1"/>
    <x v="0"/>
    <x v="1"/>
    <x v="8"/>
    <x v="2"/>
    <x v="1"/>
    <x v="0"/>
    <x v="3"/>
    <x v="1"/>
  </r>
  <r>
    <x v="256"/>
    <x v="27"/>
    <x v="3"/>
    <x v="2"/>
    <x v="3"/>
    <x v="0"/>
    <x v="18"/>
    <x v="3"/>
    <x v="7"/>
    <x v="2"/>
    <x v="0"/>
    <x v="3"/>
    <x v="0"/>
  </r>
  <r>
    <x v="257"/>
    <x v="114"/>
    <x v="8"/>
    <x v="3"/>
    <x v="8"/>
    <x v="4"/>
    <x v="50"/>
    <x v="5"/>
    <x v="6"/>
    <x v="4"/>
    <x v="2"/>
    <x v="4"/>
    <x v="4"/>
  </r>
  <r>
    <x v="258"/>
    <x v="38"/>
    <x v="0"/>
    <x v="0"/>
    <x v="0"/>
    <x v="2"/>
    <x v="15"/>
    <x v="2"/>
    <x v="11"/>
    <x v="2"/>
    <x v="0"/>
    <x v="2"/>
    <x v="0"/>
  </r>
  <r>
    <x v="259"/>
    <x v="1"/>
    <x v="0"/>
    <x v="0"/>
    <x v="0"/>
    <x v="4"/>
    <x v="45"/>
    <x v="3"/>
    <x v="10"/>
    <x v="2"/>
    <x v="2"/>
    <x v="1"/>
    <x v="1"/>
  </r>
  <r>
    <x v="260"/>
    <x v="34"/>
    <x v="6"/>
    <x v="5"/>
    <x v="6"/>
    <x v="4"/>
    <x v="43"/>
    <x v="9"/>
    <x v="11"/>
    <x v="4"/>
    <x v="0"/>
    <x v="2"/>
    <x v="4"/>
  </r>
  <r>
    <x v="261"/>
    <x v="23"/>
    <x v="6"/>
    <x v="5"/>
    <x v="6"/>
    <x v="1"/>
    <x v="34"/>
    <x v="6"/>
    <x v="2"/>
    <x v="3"/>
    <x v="0"/>
    <x v="3"/>
    <x v="1"/>
  </r>
  <r>
    <x v="262"/>
    <x v="140"/>
    <x v="8"/>
    <x v="3"/>
    <x v="8"/>
    <x v="3"/>
    <x v="60"/>
    <x v="10"/>
    <x v="5"/>
    <x v="2"/>
    <x v="2"/>
    <x v="1"/>
    <x v="0"/>
  </r>
  <r>
    <x v="263"/>
    <x v="141"/>
    <x v="14"/>
    <x v="2"/>
    <x v="13"/>
    <x v="1"/>
    <x v="66"/>
    <x v="13"/>
    <x v="9"/>
    <x v="4"/>
    <x v="2"/>
    <x v="0"/>
    <x v="0"/>
  </r>
  <r>
    <x v="264"/>
    <x v="133"/>
    <x v="3"/>
    <x v="2"/>
    <x v="3"/>
    <x v="0"/>
    <x v="18"/>
    <x v="1"/>
    <x v="8"/>
    <x v="0"/>
    <x v="0"/>
    <x v="2"/>
    <x v="1"/>
  </r>
  <r>
    <x v="265"/>
    <x v="47"/>
    <x v="5"/>
    <x v="4"/>
    <x v="5"/>
    <x v="2"/>
    <x v="53"/>
    <x v="0"/>
    <x v="4"/>
    <x v="0"/>
    <x v="0"/>
    <x v="2"/>
    <x v="0"/>
  </r>
  <r>
    <x v="266"/>
    <x v="9"/>
    <x v="2"/>
    <x v="2"/>
    <x v="2"/>
    <x v="2"/>
    <x v="8"/>
    <x v="6"/>
    <x v="10"/>
    <x v="1"/>
    <x v="0"/>
    <x v="0"/>
    <x v="4"/>
  </r>
  <r>
    <x v="267"/>
    <x v="4"/>
    <x v="5"/>
    <x v="4"/>
    <x v="5"/>
    <x v="3"/>
    <x v="67"/>
    <x v="3"/>
    <x v="0"/>
    <x v="1"/>
    <x v="0"/>
    <x v="2"/>
    <x v="1"/>
  </r>
  <r>
    <x v="268"/>
    <x v="66"/>
    <x v="9"/>
    <x v="6"/>
    <x v="9"/>
    <x v="4"/>
    <x v="57"/>
    <x v="1"/>
    <x v="4"/>
    <x v="2"/>
    <x v="0"/>
    <x v="4"/>
    <x v="2"/>
  </r>
  <r>
    <x v="269"/>
    <x v="77"/>
    <x v="6"/>
    <x v="5"/>
    <x v="6"/>
    <x v="1"/>
    <x v="34"/>
    <x v="3"/>
    <x v="7"/>
    <x v="1"/>
    <x v="1"/>
    <x v="4"/>
    <x v="6"/>
  </r>
  <r>
    <x v="270"/>
    <x v="23"/>
    <x v="4"/>
    <x v="3"/>
    <x v="4"/>
    <x v="3"/>
    <x v="49"/>
    <x v="7"/>
    <x v="6"/>
    <x v="3"/>
    <x v="0"/>
    <x v="3"/>
    <x v="1"/>
  </r>
  <r>
    <x v="271"/>
    <x v="87"/>
    <x v="9"/>
    <x v="6"/>
    <x v="9"/>
    <x v="4"/>
    <x v="57"/>
    <x v="3"/>
    <x v="7"/>
    <x v="3"/>
    <x v="2"/>
    <x v="5"/>
    <x v="4"/>
  </r>
  <r>
    <x v="272"/>
    <x v="111"/>
    <x v="13"/>
    <x v="2"/>
    <x v="12"/>
    <x v="1"/>
    <x v="24"/>
    <x v="14"/>
    <x v="4"/>
    <x v="1"/>
    <x v="2"/>
    <x v="5"/>
    <x v="3"/>
  </r>
  <r>
    <x v="273"/>
    <x v="142"/>
    <x v="8"/>
    <x v="3"/>
    <x v="8"/>
    <x v="3"/>
    <x v="60"/>
    <x v="8"/>
    <x v="4"/>
    <x v="1"/>
    <x v="1"/>
    <x v="4"/>
    <x v="5"/>
  </r>
  <r>
    <x v="274"/>
    <x v="143"/>
    <x v="8"/>
    <x v="3"/>
    <x v="8"/>
    <x v="2"/>
    <x v="40"/>
    <x v="9"/>
    <x v="4"/>
    <x v="3"/>
    <x v="1"/>
    <x v="0"/>
    <x v="4"/>
  </r>
  <r>
    <x v="275"/>
    <x v="19"/>
    <x v="14"/>
    <x v="2"/>
    <x v="13"/>
    <x v="3"/>
    <x v="42"/>
    <x v="10"/>
    <x v="10"/>
    <x v="4"/>
    <x v="2"/>
    <x v="2"/>
    <x v="5"/>
  </r>
  <r>
    <x v="276"/>
    <x v="1"/>
    <x v="3"/>
    <x v="2"/>
    <x v="3"/>
    <x v="1"/>
    <x v="47"/>
    <x v="3"/>
    <x v="10"/>
    <x v="3"/>
    <x v="0"/>
    <x v="1"/>
    <x v="1"/>
  </r>
  <r>
    <x v="277"/>
    <x v="51"/>
    <x v="2"/>
    <x v="2"/>
    <x v="2"/>
    <x v="0"/>
    <x v="5"/>
    <x v="14"/>
    <x v="10"/>
    <x v="3"/>
    <x v="0"/>
    <x v="3"/>
    <x v="0"/>
  </r>
  <r>
    <x v="278"/>
    <x v="109"/>
    <x v="5"/>
    <x v="4"/>
    <x v="5"/>
    <x v="0"/>
    <x v="7"/>
    <x v="8"/>
    <x v="2"/>
    <x v="2"/>
    <x v="2"/>
    <x v="5"/>
    <x v="1"/>
  </r>
  <r>
    <x v="279"/>
    <x v="129"/>
    <x v="4"/>
    <x v="3"/>
    <x v="4"/>
    <x v="0"/>
    <x v="31"/>
    <x v="8"/>
    <x v="11"/>
    <x v="1"/>
    <x v="0"/>
    <x v="3"/>
    <x v="6"/>
  </r>
  <r>
    <x v="280"/>
    <x v="144"/>
    <x v="14"/>
    <x v="2"/>
    <x v="13"/>
    <x v="3"/>
    <x v="42"/>
    <x v="9"/>
    <x v="1"/>
    <x v="0"/>
    <x v="0"/>
    <x v="2"/>
    <x v="5"/>
  </r>
  <r>
    <x v="281"/>
    <x v="105"/>
    <x v="2"/>
    <x v="2"/>
    <x v="2"/>
    <x v="1"/>
    <x v="2"/>
    <x v="4"/>
    <x v="1"/>
    <x v="0"/>
    <x v="0"/>
    <x v="5"/>
    <x v="0"/>
  </r>
  <r>
    <x v="282"/>
    <x v="81"/>
    <x v="14"/>
    <x v="2"/>
    <x v="13"/>
    <x v="0"/>
    <x v="64"/>
    <x v="0"/>
    <x v="3"/>
    <x v="2"/>
    <x v="1"/>
    <x v="2"/>
    <x v="0"/>
  </r>
  <r>
    <x v="283"/>
    <x v="8"/>
    <x v="2"/>
    <x v="2"/>
    <x v="2"/>
    <x v="1"/>
    <x v="2"/>
    <x v="3"/>
    <x v="6"/>
    <x v="2"/>
    <x v="0"/>
    <x v="2"/>
    <x v="5"/>
  </r>
  <r>
    <x v="284"/>
    <x v="37"/>
    <x v="3"/>
    <x v="2"/>
    <x v="3"/>
    <x v="3"/>
    <x v="41"/>
    <x v="8"/>
    <x v="10"/>
    <x v="3"/>
    <x v="0"/>
    <x v="2"/>
    <x v="6"/>
  </r>
  <r>
    <x v="285"/>
    <x v="86"/>
    <x v="6"/>
    <x v="5"/>
    <x v="6"/>
    <x v="3"/>
    <x v="39"/>
    <x v="1"/>
    <x v="1"/>
    <x v="2"/>
    <x v="0"/>
    <x v="4"/>
    <x v="2"/>
  </r>
  <r>
    <x v="286"/>
    <x v="26"/>
    <x v="6"/>
    <x v="5"/>
    <x v="6"/>
    <x v="1"/>
    <x v="34"/>
    <x v="8"/>
    <x v="7"/>
    <x v="3"/>
    <x v="0"/>
    <x v="4"/>
    <x v="5"/>
  </r>
  <r>
    <x v="287"/>
    <x v="145"/>
    <x v="11"/>
    <x v="6"/>
    <x v="11"/>
    <x v="4"/>
    <x v="29"/>
    <x v="8"/>
    <x v="9"/>
    <x v="3"/>
    <x v="0"/>
    <x v="5"/>
    <x v="5"/>
  </r>
  <r>
    <x v="288"/>
    <x v="106"/>
    <x v="13"/>
    <x v="2"/>
    <x v="12"/>
    <x v="2"/>
    <x v="25"/>
    <x v="4"/>
    <x v="8"/>
    <x v="1"/>
    <x v="0"/>
    <x v="2"/>
    <x v="2"/>
  </r>
  <r>
    <x v="289"/>
    <x v="137"/>
    <x v="6"/>
    <x v="5"/>
    <x v="6"/>
    <x v="0"/>
    <x v="9"/>
    <x v="8"/>
    <x v="6"/>
    <x v="1"/>
    <x v="0"/>
    <x v="4"/>
    <x v="2"/>
  </r>
  <r>
    <x v="290"/>
    <x v="3"/>
    <x v="11"/>
    <x v="6"/>
    <x v="11"/>
    <x v="0"/>
    <x v="16"/>
    <x v="0"/>
    <x v="10"/>
    <x v="1"/>
    <x v="1"/>
    <x v="0"/>
    <x v="2"/>
  </r>
  <r>
    <x v="291"/>
    <x v="103"/>
    <x v="0"/>
    <x v="0"/>
    <x v="0"/>
    <x v="4"/>
    <x v="45"/>
    <x v="11"/>
    <x v="8"/>
    <x v="2"/>
    <x v="0"/>
    <x v="3"/>
    <x v="5"/>
  </r>
  <r>
    <x v="292"/>
    <x v="146"/>
    <x v="6"/>
    <x v="5"/>
    <x v="6"/>
    <x v="0"/>
    <x v="9"/>
    <x v="13"/>
    <x v="3"/>
    <x v="4"/>
    <x v="2"/>
    <x v="3"/>
    <x v="0"/>
  </r>
  <r>
    <x v="293"/>
    <x v="147"/>
    <x v="8"/>
    <x v="3"/>
    <x v="8"/>
    <x v="3"/>
    <x v="60"/>
    <x v="13"/>
    <x v="8"/>
    <x v="3"/>
    <x v="0"/>
    <x v="4"/>
    <x v="4"/>
  </r>
  <r>
    <x v="294"/>
    <x v="148"/>
    <x v="4"/>
    <x v="3"/>
    <x v="4"/>
    <x v="2"/>
    <x v="37"/>
    <x v="12"/>
    <x v="7"/>
    <x v="2"/>
    <x v="0"/>
    <x v="2"/>
    <x v="3"/>
  </r>
  <r>
    <x v="295"/>
    <x v="141"/>
    <x v="9"/>
    <x v="6"/>
    <x v="9"/>
    <x v="3"/>
    <x v="12"/>
    <x v="13"/>
    <x v="2"/>
    <x v="4"/>
    <x v="2"/>
    <x v="0"/>
    <x v="0"/>
  </r>
  <r>
    <x v="296"/>
    <x v="52"/>
    <x v="10"/>
    <x v="7"/>
    <x v="10"/>
    <x v="2"/>
    <x v="22"/>
    <x v="4"/>
    <x v="2"/>
    <x v="2"/>
    <x v="1"/>
    <x v="4"/>
    <x v="2"/>
  </r>
  <r>
    <x v="297"/>
    <x v="139"/>
    <x v="14"/>
    <x v="2"/>
    <x v="13"/>
    <x v="2"/>
    <x v="32"/>
    <x v="5"/>
    <x v="0"/>
    <x v="4"/>
    <x v="0"/>
    <x v="0"/>
    <x v="6"/>
  </r>
  <r>
    <x v="298"/>
    <x v="149"/>
    <x v="11"/>
    <x v="6"/>
    <x v="11"/>
    <x v="1"/>
    <x v="20"/>
    <x v="14"/>
    <x v="3"/>
    <x v="3"/>
    <x v="1"/>
    <x v="2"/>
    <x v="5"/>
  </r>
  <r>
    <x v="299"/>
    <x v="121"/>
    <x v="0"/>
    <x v="0"/>
    <x v="0"/>
    <x v="4"/>
    <x v="45"/>
    <x v="4"/>
    <x v="9"/>
    <x v="1"/>
    <x v="2"/>
    <x v="1"/>
    <x v="6"/>
  </r>
  <r>
    <x v="300"/>
    <x v="120"/>
    <x v="13"/>
    <x v="2"/>
    <x v="12"/>
    <x v="0"/>
    <x v="65"/>
    <x v="4"/>
    <x v="6"/>
    <x v="1"/>
    <x v="2"/>
    <x v="1"/>
    <x v="5"/>
  </r>
  <r>
    <x v="301"/>
    <x v="43"/>
    <x v="0"/>
    <x v="0"/>
    <x v="0"/>
    <x v="3"/>
    <x v="36"/>
    <x v="13"/>
    <x v="4"/>
    <x v="1"/>
    <x v="2"/>
    <x v="2"/>
    <x v="6"/>
  </r>
  <r>
    <x v="302"/>
    <x v="89"/>
    <x v="4"/>
    <x v="3"/>
    <x v="4"/>
    <x v="1"/>
    <x v="6"/>
    <x v="9"/>
    <x v="8"/>
    <x v="3"/>
    <x v="0"/>
    <x v="5"/>
    <x v="2"/>
  </r>
  <r>
    <x v="303"/>
    <x v="64"/>
    <x v="6"/>
    <x v="5"/>
    <x v="6"/>
    <x v="1"/>
    <x v="34"/>
    <x v="4"/>
    <x v="9"/>
    <x v="3"/>
    <x v="0"/>
    <x v="0"/>
    <x v="3"/>
  </r>
  <r>
    <x v="304"/>
    <x v="48"/>
    <x v="4"/>
    <x v="3"/>
    <x v="4"/>
    <x v="4"/>
    <x v="61"/>
    <x v="7"/>
    <x v="0"/>
    <x v="2"/>
    <x v="0"/>
    <x v="4"/>
    <x v="6"/>
  </r>
  <r>
    <x v="305"/>
    <x v="140"/>
    <x v="2"/>
    <x v="2"/>
    <x v="2"/>
    <x v="0"/>
    <x v="5"/>
    <x v="5"/>
    <x v="10"/>
    <x v="2"/>
    <x v="0"/>
    <x v="1"/>
    <x v="0"/>
  </r>
  <r>
    <x v="306"/>
    <x v="64"/>
    <x v="8"/>
    <x v="3"/>
    <x v="8"/>
    <x v="2"/>
    <x v="40"/>
    <x v="7"/>
    <x v="10"/>
    <x v="2"/>
    <x v="0"/>
    <x v="0"/>
    <x v="3"/>
  </r>
  <r>
    <x v="307"/>
    <x v="28"/>
    <x v="12"/>
    <x v="2"/>
    <x v="2"/>
    <x v="3"/>
    <x v="13"/>
    <x v="3"/>
    <x v="10"/>
    <x v="4"/>
    <x v="0"/>
    <x v="4"/>
    <x v="3"/>
  </r>
  <r>
    <x v="308"/>
    <x v="114"/>
    <x v="12"/>
    <x v="2"/>
    <x v="2"/>
    <x v="1"/>
    <x v="2"/>
    <x v="5"/>
    <x v="2"/>
    <x v="0"/>
    <x v="2"/>
    <x v="4"/>
    <x v="4"/>
  </r>
  <r>
    <x v="309"/>
    <x v="60"/>
    <x v="5"/>
    <x v="4"/>
    <x v="5"/>
    <x v="4"/>
    <x v="58"/>
    <x v="5"/>
    <x v="3"/>
    <x v="1"/>
    <x v="0"/>
    <x v="0"/>
    <x v="1"/>
  </r>
  <r>
    <x v="310"/>
    <x v="47"/>
    <x v="13"/>
    <x v="2"/>
    <x v="12"/>
    <x v="3"/>
    <x v="23"/>
    <x v="10"/>
    <x v="7"/>
    <x v="3"/>
    <x v="0"/>
    <x v="2"/>
    <x v="0"/>
  </r>
  <r>
    <x v="311"/>
    <x v="135"/>
    <x v="5"/>
    <x v="4"/>
    <x v="5"/>
    <x v="1"/>
    <x v="27"/>
    <x v="7"/>
    <x v="9"/>
    <x v="1"/>
    <x v="0"/>
    <x v="3"/>
    <x v="3"/>
  </r>
  <r>
    <x v="312"/>
    <x v="123"/>
    <x v="8"/>
    <x v="3"/>
    <x v="8"/>
    <x v="3"/>
    <x v="60"/>
    <x v="11"/>
    <x v="3"/>
    <x v="0"/>
    <x v="0"/>
    <x v="0"/>
    <x v="5"/>
  </r>
  <r>
    <x v="313"/>
    <x v="150"/>
    <x v="10"/>
    <x v="7"/>
    <x v="10"/>
    <x v="4"/>
    <x v="48"/>
    <x v="12"/>
    <x v="10"/>
    <x v="0"/>
    <x v="0"/>
    <x v="4"/>
    <x v="3"/>
  </r>
  <r>
    <x v="314"/>
    <x v="81"/>
    <x v="13"/>
    <x v="2"/>
    <x v="12"/>
    <x v="4"/>
    <x v="26"/>
    <x v="6"/>
    <x v="9"/>
    <x v="3"/>
    <x v="2"/>
    <x v="2"/>
    <x v="0"/>
  </r>
  <r>
    <x v="315"/>
    <x v="31"/>
    <x v="0"/>
    <x v="0"/>
    <x v="0"/>
    <x v="2"/>
    <x v="15"/>
    <x v="12"/>
    <x v="11"/>
    <x v="2"/>
    <x v="2"/>
    <x v="1"/>
    <x v="4"/>
  </r>
  <r>
    <x v="316"/>
    <x v="71"/>
    <x v="5"/>
    <x v="4"/>
    <x v="5"/>
    <x v="4"/>
    <x v="58"/>
    <x v="9"/>
    <x v="3"/>
    <x v="0"/>
    <x v="0"/>
    <x v="4"/>
    <x v="5"/>
  </r>
  <r>
    <x v="317"/>
    <x v="17"/>
    <x v="7"/>
    <x v="2"/>
    <x v="7"/>
    <x v="1"/>
    <x v="62"/>
    <x v="11"/>
    <x v="3"/>
    <x v="4"/>
    <x v="0"/>
    <x v="5"/>
    <x v="2"/>
  </r>
  <r>
    <x v="318"/>
    <x v="136"/>
    <x v="12"/>
    <x v="2"/>
    <x v="2"/>
    <x v="4"/>
    <x v="38"/>
    <x v="2"/>
    <x v="2"/>
    <x v="1"/>
    <x v="0"/>
    <x v="3"/>
    <x v="1"/>
  </r>
  <r>
    <x v="319"/>
    <x v="5"/>
    <x v="6"/>
    <x v="5"/>
    <x v="6"/>
    <x v="1"/>
    <x v="34"/>
    <x v="1"/>
    <x v="10"/>
    <x v="2"/>
    <x v="0"/>
    <x v="2"/>
    <x v="3"/>
  </r>
  <r>
    <x v="320"/>
    <x v="141"/>
    <x v="6"/>
    <x v="5"/>
    <x v="6"/>
    <x v="4"/>
    <x v="43"/>
    <x v="1"/>
    <x v="9"/>
    <x v="4"/>
    <x v="0"/>
    <x v="0"/>
    <x v="0"/>
  </r>
  <r>
    <x v="321"/>
    <x v="111"/>
    <x v="10"/>
    <x v="7"/>
    <x v="10"/>
    <x v="1"/>
    <x v="59"/>
    <x v="0"/>
    <x v="9"/>
    <x v="0"/>
    <x v="1"/>
    <x v="5"/>
    <x v="3"/>
  </r>
  <r>
    <x v="322"/>
    <x v="4"/>
    <x v="1"/>
    <x v="1"/>
    <x v="1"/>
    <x v="1"/>
    <x v="4"/>
    <x v="8"/>
    <x v="2"/>
    <x v="2"/>
    <x v="0"/>
    <x v="2"/>
    <x v="1"/>
  </r>
  <r>
    <x v="323"/>
    <x v="20"/>
    <x v="2"/>
    <x v="2"/>
    <x v="2"/>
    <x v="4"/>
    <x v="38"/>
    <x v="9"/>
    <x v="11"/>
    <x v="1"/>
    <x v="0"/>
    <x v="4"/>
    <x v="1"/>
  </r>
  <r>
    <x v="324"/>
    <x v="105"/>
    <x v="10"/>
    <x v="7"/>
    <x v="10"/>
    <x v="4"/>
    <x v="48"/>
    <x v="9"/>
    <x v="1"/>
    <x v="0"/>
    <x v="0"/>
    <x v="5"/>
    <x v="0"/>
  </r>
  <r>
    <x v="325"/>
    <x v="151"/>
    <x v="1"/>
    <x v="1"/>
    <x v="1"/>
    <x v="2"/>
    <x v="52"/>
    <x v="7"/>
    <x v="5"/>
    <x v="1"/>
    <x v="0"/>
    <x v="5"/>
    <x v="6"/>
  </r>
  <r>
    <x v="326"/>
    <x v="1"/>
    <x v="14"/>
    <x v="2"/>
    <x v="13"/>
    <x v="2"/>
    <x v="32"/>
    <x v="1"/>
    <x v="1"/>
    <x v="3"/>
    <x v="0"/>
    <x v="1"/>
    <x v="1"/>
  </r>
  <r>
    <x v="327"/>
    <x v="17"/>
    <x v="10"/>
    <x v="7"/>
    <x v="10"/>
    <x v="0"/>
    <x v="33"/>
    <x v="14"/>
    <x v="7"/>
    <x v="4"/>
    <x v="0"/>
    <x v="5"/>
    <x v="2"/>
  </r>
  <r>
    <x v="328"/>
    <x v="151"/>
    <x v="8"/>
    <x v="3"/>
    <x v="8"/>
    <x v="0"/>
    <x v="11"/>
    <x v="1"/>
    <x v="9"/>
    <x v="0"/>
    <x v="2"/>
    <x v="5"/>
    <x v="6"/>
  </r>
  <r>
    <x v="329"/>
    <x v="62"/>
    <x v="0"/>
    <x v="0"/>
    <x v="0"/>
    <x v="2"/>
    <x v="15"/>
    <x v="11"/>
    <x v="0"/>
    <x v="0"/>
    <x v="0"/>
    <x v="4"/>
    <x v="3"/>
  </r>
  <r>
    <x v="330"/>
    <x v="67"/>
    <x v="2"/>
    <x v="2"/>
    <x v="2"/>
    <x v="2"/>
    <x v="8"/>
    <x v="3"/>
    <x v="4"/>
    <x v="0"/>
    <x v="0"/>
    <x v="1"/>
    <x v="5"/>
  </r>
  <r>
    <x v="331"/>
    <x v="152"/>
    <x v="0"/>
    <x v="0"/>
    <x v="0"/>
    <x v="2"/>
    <x v="15"/>
    <x v="10"/>
    <x v="2"/>
    <x v="0"/>
    <x v="0"/>
    <x v="2"/>
    <x v="6"/>
  </r>
  <r>
    <x v="332"/>
    <x v="41"/>
    <x v="11"/>
    <x v="6"/>
    <x v="11"/>
    <x v="0"/>
    <x v="16"/>
    <x v="1"/>
    <x v="3"/>
    <x v="4"/>
    <x v="2"/>
    <x v="0"/>
    <x v="2"/>
  </r>
  <r>
    <x v="333"/>
    <x v="62"/>
    <x v="0"/>
    <x v="0"/>
    <x v="0"/>
    <x v="2"/>
    <x v="15"/>
    <x v="4"/>
    <x v="4"/>
    <x v="2"/>
    <x v="0"/>
    <x v="4"/>
    <x v="3"/>
  </r>
  <r>
    <x v="334"/>
    <x v="153"/>
    <x v="2"/>
    <x v="2"/>
    <x v="2"/>
    <x v="1"/>
    <x v="2"/>
    <x v="9"/>
    <x v="3"/>
    <x v="2"/>
    <x v="0"/>
    <x v="4"/>
    <x v="2"/>
  </r>
  <r>
    <x v="335"/>
    <x v="101"/>
    <x v="5"/>
    <x v="4"/>
    <x v="5"/>
    <x v="1"/>
    <x v="27"/>
    <x v="9"/>
    <x v="9"/>
    <x v="4"/>
    <x v="0"/>
    <x v="3"/>
    <x v="2"/>
  </r>
  <r>
    <x v="336"/>
    <x v="82"/>
    <x v="5"/>
    <x v="4"/>
    <x v="5"/>
    <x v="4"/>
    <x v="58"/>
    <x v="11"/>
    <x v="5"/>
    <x v="2"/>
    <x v="0"/>
    <x v="0"/>
    <x v="3"/>
  </r>
  <r>
    <x v="337"/>
    <x v="154"/>
    <x v="7"/>
    <x v="2"/>
    <x v="7"/>
    <x v="2"/>
    <x v="54"/>
    <x v="14"/>
    <x v="3"/>
    <x v="3"/>
    <x v="0"/>
    <x v="1"/>
    <x v="4"/>
  </r>
  <r>
    <x v="338"/>
    <x v="61"/>
    <x v="11"/>
    <x v="6"/>
    <x v="11"/>
    <x v="1"/>
    <x v="20"/>
    <x v="11"/>
    <x v="6"/>
    <x v="1"/>
    <x v="0"/>
    <x v="5"/>
    <x v="1"/>
  </r>
  <r>
    <x v="339"/>
    <x v="0"/>
    <x v="6"/>
    <x v="5"/>
    <x v="6"/>
    <x v="4"/>
    <x v="43"/>
    <x v="8"/>
    <x v="11"/>
    <x v="0"/>
    <x v="0"/>
    <x v="0"/>
    <x v="0"/>
  </r>
  <r>
    <x v="340"/>
    <x v="17"/>
    <x v="9"/>
    <x v="6"/>
    <x v="9"/>
    <x v="1"/>
    <x v="17"/>
    <x v="3"/>
    <x v="11"/>
    <x v="4"/>
    <x v="0"/>
    <x v="5"/>
    <x v="2"/>
  </r>
  <r>
    <x v="341"/>
    <x v="120"/>
    <x v="11"/>
    <x v="6"/>
    <x v="11"/>
    <x v="1"/>
    <x v="20"/>
    <x v="10"/>
    <x v="2"/>
    <x v="3"/>
    <x v="1"/>
    <x v="1"/>
    <x v="5"/>
  </r>
  <r>
    <x v="342"/>
    <x v="72"/>
    <x v="1"/>
    <x v="1"/>
    <x v="1"/>
    <x v="0"/>
    <x v="1"/>
    <x v="4"/>
    <x v="6"/>
    <x v="0"/>
    <x v="0"/>
    <x v="4"/>
    <x v="1"/>
  </r>
  <r>
    <x v="343"/>
    <x v="155"/>
    <x v="1"/>
    <x v="1"/>
    <x v="1"/>
    <x v="4"/>
    <x v="21"/>
    <x v="1"/>
    <x v="11"/>
    <x v="4"/>
    <x v="1"/>
    <x v="3"/>
    <x v="5"/>
  </r>
  <r>
    <x v="344"/>
    <x v="15"/>
    <x v="14"/>
    <x v="2"/>
    <x v="13"/>
    <x v="0"/>
    <x v="64"/>
    <x v="8"/>
    <x v="8"/>
    <x v="3"/>
    <x v="0"/>
    <x v="2"/>
    <x v="2"/>
  </r>
  <r>
    <x v="345"/>
    <x v="107"/>
    <x v="1"/>
    <x v="1"/>
    <x v="1"/>
    <x v="2"/>
    <x v="52"/>
    <x v="5"/>
    <x v="7"/>
    <x v="2"/>
    <x v="2"/>
    <x v="3"/>
    <x v="2"/>
  </r>
  <r>
    <x v="346"/>
    <x v="7"/>
    <x v="12"/>
    <x v="2"/>
    <x v="2"/>
    <x v="4"/>
    <x v="38"/>
    <x v="3"/>
    <x v="9"/>
    <x v="1"/>
    <x v="0"/>
    <x v="3"/>
    <x v="4"/>
  </r>
  <r>
    <x v="347"/>
    <x v="104"/>
    <x v="3"/>
    <x v="2"/>
    <x v="3"/>
    <x v="0"/>
    <x v="18"/>
    <x v="4"/>
    <x v="2"/>
    <x v="3"/>
    <x v="0"/>
    <x v="3"/>
    <x v="3"/>
  </r>
  <r>
    <x v="348"/>
    <x v="43"/>
    <x v="2"/>
    <x v="2"/>
    <x v="2"/>
    <x v="3"/>
    <x v="13"/>
    <x v="8"/>
    <x v="7"/>
    <x v="3"/>
    <x v="0"/>
    <x v="2"/>
    <x v="6"/>
  </r>
  <r>
    <x v="349"/>
    <x v="63"/>
    <x v="14"/>
    <x v="2"/>
    <x v="13"/>
    <x v="2"/>
    <x v="32"/>
    <x v="12"/>
    <x v="0"/>
    <x v="1"/>
    <x v="0"/>
    <x v="5"/>
    <x v="4"/>
  </r>
  <r>
    <x v="350"/>
    <x v="156"/>
    <x v="7"/>
    <x v="2"/>
    <x v="7"/>
    <x v="2"/>
    <x v="54"/>
    <x v="3"/>
    <x v="0"/>
    <x v="0"/>
    <x v="2"/>
    <x v="2"/>
    <x v="6"/>
  </r>
  <r>
    <x v="351"/>
    <x v="65"/>
    <x v="10"/>
    <x v="7"/>
    <x v="10"/>
    <x v="2"/>
    <x v="22"/>
    <x v="10"/>
    <x v="10"/>
    <x v="3"/>
    <x v="0"/>
    <x v="2"/>
    <x v="4"/>
  </r>
  <r>
    <x v="352"/>
    <x v="14"/>
    <x v="10"/>
    <x v="7"/>
    <x v="10"/>
    <x v="2"/>
    <x v="22"/>
    <x v="10"/>
    <x v="0"/>
    <x v="3"/>
    <x v="0"/>
    <x v="4"/>
    <x v="3"/>
  </r>
  <r>
    <x v="353"/>
    <x v="105"/>
    <x v="10"/>
    <x v="7"/>
    <x v="10"/>
    <x v="2"/>
    <x v="22"/>
    <x v="12"/>
    <x v="0"/>
    <x v="2"/>
    <x v="0"/>
    <x v="5"/>
    <x v="0"/>
  </r>
  <r>
    <x v="354"/>
    <x v="118"/>
    <x v="13"/>
    <x v="2"/>
    <x v="12"/>
    <x v="0"/>
    <x v="65"/>
    <x v="11"/>
    <x v="5"/>
    <x v="0"/>
    <x v="0"/>
    <x v="1"/>
    <x v="1"/>
  </r>
  <r>
    <x v="355"/>
    <x v="15"/>
    <x v="12"/>
    <x v="2"/>
    <x v="2"/>
    <x v="1"/>
    <x v="2"/>
    <x v="9"/>
    <x v="6"/>
    <x v="0"/>
    <x v="0"/>
    <x v="2"/>
    <x v="2"/>
  </r>
  <r>
    <x v="356"/>
    <x v="148"/>
    <x v="1"/>
    <x v="1"/>
    <x v="1"/>
    <x v="2"/>
    <x v="52"/>
    <x v="12"/>
    <x v="6"/>
    <x v="3"/>
    <x v="0"/>
    <x v="2"/>
    <x v="3"/>
  </r>
  <r>
    <x v="357"/>
    <x v="107"/>
    <x v="13"/>
    <x v="2"/>
    <x v="12"/>
    <x v="4"/>
    <x v="26"/>
    <x v="5"/>
    <x v="6"/>
    <x v="1"/>
    <x v="0"/>
    <x v="3"/>
    <x v="2"/>
  </r>
  <r>
    <x v="358"/>
    <x v="130"/>
    <x v="1"/>
    <x v="1"/>
    <x v="1"/>
    <x v="3"/>
    <x v="46"/>
    <x v="0"/>
    <x v="4"/>
    <x v="1"/>
    <x v="0"/>
    <x v="0"/>
    <x v="6"/>
  </r>
  <r>
    <x v="359"/>
    <x v="107"/>
    <x v="13"/>
    <x v="2"/>
    <x v="12"/>
    <x v="4"/>
    <x v="26"/>
    <x v="4"/>
    <x v="6"/>
    <x v="1"/>
    <x v="0"/>
    <x v="3"/>
    <x v="2"/>
  </r>
  <r>
    <x v="360"/>
    <x v="157"/>
    <x v="2"/>
    <x v="2"/>
    <x v="2"/>
    <x v="1"/>
    <x v="2"/>
    <x v="14"/>
    <x v="8"/>
    <x v="2"/>
    <x v="0"/>
    <x v="1"/>
    <x v="4"/>
  </r>
  <r>
    <x v="361"/>
    <x v="95"/>
    <x v="14"/>
    <x v="2"/>
    <x v="13"/>
    <x v="4"/>
    <x v="35"/>
    <x v="4"/>
    <x v="11"/>
    <x v="0"/>
    <x v="0"/>
    <x v="5"/>
    <x v="0"/>
  </r>
  <r>
    <x v="362"/>
    <x v="14"/>
    <x v="9"/>
    <x v="6"/>
    <x v="9"/>
    <x v="2"/>
    <x v="55"/>
    <x v="9"/>
    <x v="8"/>
    <x v="2"/>
    <x v="2"/>
    <x v="4"/>
    <x v="3"/>
  </r>
  <r>
    <x v="363"/>
    <x v="23"/>
    <x v="8"/>
    <x v="3"/>
    <x v="8"/>
    <x v="4"/>
    <x v="50"/>
    <x v="7"/>
    <x v="9"/>
    <x v="0"/>
    <x v="1"/>
    <x v="3"/>
    <x v="1"/>
  </r>
  <r>
    <x v="364"/>
    <x v="41"/>
    <x v="6"/>
    <x v="5"/>
    <x v="6"/>
    <x v="3"/>
    <x v="39"/>
    <x v="7"/>
    <x v="1"/>
    <x v="2"/>
    <x v="2"/>
    <x v="0"/>
    <x v="2"/>
  </r>
  <r>
    <x v="365"/>
    <x v="88"/>
    <x v="6"/>
    <x v="5"/>
    <x v="6"/>
    <x v="2"/>
    <x v="51"/>
    <x v="2"/>
    <x v="11"/>
    <x v="0"/>
    <x v="2"/>
    <x v="2"/>
    <x v="5"/>
  </r>
  <r>
    <x v="366"/>
    <x v="113"/>
    <x v="5"/>
    <x v="4"/>
    <x v="5"/>
    <x v="4"/>
    <x v="58"/>
    <x v="6"/>
    <x v="3"/>
    <x v="2"/>
    <x v="0"/>
    <x v="5"/>
    <x v="6"/>
  </r>
  <r>
    <x v="367"/>
    <x v="85"/>
    <x v="9"/>
    <x v="6"/>
    <x v="9"/>
    <x v="3"/>
    <x v="12"/>
    <x v="2"/>
    <x v="3"/>
    <x v="3"/>
    <x v="0"/>
    <x v="2"/>
    <x v="2"/>
  </r>
  <r>
    <x v="368"/>
    <x v="85"/>
    <x v="1"/>
    <x v="1"/>
    <x v="1"/>
    <x v="0"/>
    <x v="1"/>
    <x v="1"/>
    <x v="1"/>
    <x v="3"/>
    <x v="0"/>
    <x v="2"/>
    <x v="2"/>
  </r>
  <r>
    <x v="369"/>
    <x v="66"/>
    <x v="14"/>
    <x v="2"/>
    <x v="13"/>
    <x v="3"/>
    <x v="42"/>
    <x v="11"/>
    <x v="0"/>
    <x v="1"/>
    <x v="0"/>
    <x v="4"/>
    <x v="2"/>
  </r>
  <r>
    <x v="370"/>
    <x v="158"/>
    <x v="9"/>
    <x v="6"/>
    <x v="9"/>
    <x v="4"/>
    <x v="57"/>
    <x v="4"/>
    <x v="0"/>
    <x v="1"/>
    <x v="0"/>
    <x v="1"/>
    <x v="0"/>
  </r>
  <r>
    <x v="371"/>
    <x v="159"/>
    <x v="3"/>
    <x v="2"/>
    <x v="3"/>
    <x v="1"/>
    <x v="47"/>
    <x v="8"/>
    <x v="8"/>
    <x v="1"/>
    <x v="0"/>
    <x v="5"/>
    <x v="2"/>
  </r>
  <r>
    <x v="372"/>
    <x v="108"/>
    <x v="5"/>
    <x v="4"/>
    <x v="5"/>
    <x v="0"/>
    <x v="7"/>
    <x v="2"/>
    <x v="0"/>
    <x v="2"/>
    <x v="2"/>
    <x v="3"/>
    <x v="1"/>
  </r>
  <r>
    <x v="373"/>
    <x v="38"/>
    <x v="3"/>
    <x v="2"/>
    <x v="3"/>
    <x v="3"/>
    <x v="41"/>
    <x v="4"/>
    <x v="4"/>
    <x v="2"/>
    <x v="0"/>
    <x v="2"/>
    <x v="0"/>
  </r>
  <r>
    <x v="374"/>
    <x v="112"/>
    <x v="10"/>
    <x v="7"/>
    <x v="10"/>
    <x v="1"/>
    <x v="59"/>
    <x v="1"/>
    <x v="8"/>
    <x v="0"/>
    <x v="0"/>
    <x v="5"/>
    <x v="4"/>
  </r>
  <r>
    <x v="375"/>
    <x v="64"/>
    <x v="14"/>
    <x v="2"/>
    <x v="13"/>
    <x v="2"/>
    <x v="32"/>
    <x v="11"/>
    <x v="1"/>
    <x v="1"/>
    <x v="0"/>
    <x v="0"/>
    <x v="3"/>
  </r>
  <r>
    <x v="376"/>
    <x v="137"/>
    <x v="1"/>
    <x v="1"/>
    <x v="1"/>
    <x v="0"/>
    <x v="1"/>
    <x v="0"/>
    <x v="8"/>
    <x v="1"/>
    <x v="1"/>
    <x v="4"/>
    <x v="2"/>
  </r>
  <r>
    <x v="377"/>
    <x v="100"/>
    <x v="8"/>
    <x v="3"/>
    <x v="8"/>
    <x v="0"/>
    <x v="11"/>
    <x v="8"/>
    <x v="10"/>
    <x v="2"/>
    <x v="0"/>
    <x v="2"/>
    <x v="3"/>
  </r>
  <r>
    <x v="378"/>
    <x v="16"/>
    <x v="9"/>
    <x v="6"/>
    <x v="9"/>
    <x v="2"/>
    <x v="55"/>
    <x v="11"/>
    <x v="3"/>
    <x v="0"/>
    <x v="0"/>
    <x v="3"/>
    <x v="1"/>
  </r>
  <r>
    <x v="379"/>
    <x v="10"/>
    <x v="11"/>
    <x v="6"/>
    <x v="11"/>
    <x v="1"/>
    <x v="20"/>
    <x v="5"/>
    <x v="0"/>
    <x v="0"/>
    <x v="0"/>
    <x v="4"/>
    <x v="0"/>
  </r>
  <r>
    <x v="380"/>
    <x v="80"/>
    <x v="8"/>
    <x v="3"/>
    <x v="8"/>
    <x v="4"/>
    <x v="50"/>
    <x v="5"/>
    <x v="2"/>
    <x v="0"/>
    <x v="0"/>
    <x v="4"/>
    <x v="0"/>
  </r>
  <r>
    <x v="381"/>
    <x v="5"/>
    <x v="9"/>
    <x v="6"/>
    <x v="9"/>
    <x v="4"/>
    <x v="57"/>
    <x v="11"/>
    <x v="8"/>
    <x v="3"/>
    <x v="0"/>
    <x v="2"/>
    <x v="3"/>
  </r>
  <r>
    <x v="382"/>
    <x v="13"/>
    <x v="8"/>
    <x v="3"/>
    <x v="8"/>
    <x v="3"/>
    <x v="60"/>
    <x v="3"/>
    <x v="6"/>
    <x v="2"/>
    <x v="0"/>
    <x v="1"/>
    <x v="0"/>
  </r>
  <r>
    <x v="383"/>
    <x v="160"/>
    <x v="13"/>
    <x v="2"/>
    <x v="12"/>
    <x v="3"/>
    <x v="23"/>
    <x v="8"/>
    <x v="4"/>
    <x v="3"/>
    <x v="0"/>
    <x v="5"/>
    <x v="6"/>
  </r>
  <r>
    <x v="384"/>
    <x v="118"/>
    <x v="12"/>
    <x v="2"/>
    <x v="2"/>
    <x v="1"/>
    <x v="2"/>
    <x v="3"/>
    <x v="6"/>
    <x v="3"/>
    <x v="0"/>
    <x v="1"/>
    <x v="1"/>
  </r>
  <r>
    <x v="385"/>
    <x v="37"/>
    <x v="0"/>
    <x v="0"/>
    <x v="0"/>
    <x v="4"/>
    <x v="45"/>
    <x v="3"/>
    <x v="8"/>
    <x v="1"/>
    <x v="2"/>
    <x v="2"/>
    <x v="6"/>
  </r>
  <r>
    <x v="386"/>
    <x v="83"/>
    <x v="3"/>
    <x v="2"/>
    <x v="3"/>
    <x v="0"/>
    <x v="18"/>
    <x v="7"/>
    <x v="9"/>
    <x v="1"/>
    <x v="2"/>
    <x v="1"/>
    <x v="3"/>
  </r>
  <r>
    <x v="387"/>
    <x v="110"/>
    <x v="14"/>
    <x v="2"/>
    <x v="13"/>
    <x v="1"/>
    <x v="66"/>
    <x v="14"/>
    <x v="5"/>
    <x v="2"/>
    <x v="0"/>
    <x v="3"/>
    <x v="4"/>
  </r>
  <r>
    <x v="388"/>
    <x v="121"/>
    <x v="6"/>
    <x v="5"/>
    <x v="6"/>
    <x v="3"/>
    <x v="39"/>
    <x v="10"/>
    <x v="1"/>
    <x v="0"/>
    <x v="0"/>
    <x v="1"/>
    <x v="6"/>
  </r>
  <r>
    <x v="389"/>
    <x v="24"/>
    <x v="0"/>
    <x v="0"/>
    <x v="0"/>
    <x v="0"/>
    <x v="0"/>
    <x v="2"/>
    <x v="5"/>
    <x v="1"/>
    <x v="2"/>
    <x v="0"/>
    <x v="5"/>
  </r>
  <r>
    <x v="390"/>
    <x v="132"/>
    <x v="5"/>
    <x v="4"/>
    <x v="5"/>
    <x v="1"/>
    <x v="27"/>
    <x v="10"/>
    <x v="2"/>
    <x v="4"/>
    <x v="0"/>
    <x v="5"/>
    <x v="0"/>
  </r>
  <r>
    <x v="391"/>
    <x v="121"/>
    <x v="4"/>
    <x v="3"/>
    <x v="4"/>
    <x v="2"/>
    <x v="37"/>
    <x v="13"/>
    <x v="9"/>
    <x v="4"/>
    <x v="0"/>
    <x v="1"/>
    <x v="6"/>
  </r>
  <r>
    <x v="392"/>
    <x v="44"/>
    <x v="2"/>
    <x v="2"/>
    <x v="2"/>
    <x v="4"/>
    <x v="38"/>
    <x v="13"/>
    <x v="10"/>
    <x v="0"/>
    <x v="0"/>
    <x v="0"/>
    <x v="0"/>
  </r>
  <r>
    <x v="393"/>
    <x v="157"/>
    <x v="1"/>
    <x v="1"/>
    <x v="1"/>
    <x v="4"/>
    <x v="21"/>
    <x v="11"/>
    <x v="10"/>
    <x v="1"/>
    <x v="2"/>
    <x v="1"/>
    <x v="4"/>
  </r>
  <r>
    <x v="394"/>
    <x v="56"/>
    <x v="4"/>
    <x v="3"/>
    <x v="4"/>
    <x v="3"/>
    <x v="49"/>
    <x v="0"/>
    <x v="1"/>
    <x v="1"/>
    <x v="0"/>
    <x v="0"/>
    <x v="5"/>
  </r>
  <r>
    <x v="395"/>
    <x v="37"/>
    <x v="13"/>
    <x v="2"/>
    <x v="12"/>
    <x v="3"/>
    <x v="23"/>
    <x v="10"/>
    <x v="5"/>
    <x v="0"/>
    <x v="0"/>
    <x v="2"/>
    <x v="6"/>
  </r>
  <r>
    <x v="396"/>
    <x v="158"/>
    <x v="2"/>
    <x v="2"/>
    <x v="2"/>
    <x v="0"/>
    <x v="5"/>
    <x v="3"/>
    <x v="6"/>
    <x v="0"/>
    <x v="0"/>
    <x v="1"/>
    <x v="0"/>
  </r>
  <r>
    <x v="397"/>
    <x v="64"/>
    <x v="11"/>
    <x v="6"/>
    <x v="11"/>
    <x v="0"/>
    <x v="16"/>
    <x v="6"/>
    <x v="11"/>
    <x v="1"/>
    <x v="0"/>
    <x v="0"/>
    <x v="3"/>
  </r>
  <r>
    <x v="398"/>
    <x v="149"/>
    <x v="8"/>
    <x v="3"/>
    <x v="8"/>
    <x v="2"/>
    <x v="40"/>
    <x v="3"/>
    <x v="7"/>
    <x v="4"/>
    <x v="0"/>
    <x v="2"/>
    <x v="5"/>
  </r>
  <r>
    <x v="399"/>
    <x v="161"/>
    <x v="11"/>
    <x v="6"/>
    <x v="11"/>
    <x v="2"/>
    <x v="68"/>
    <x v="1"/>
    <x v="2"/>
    <x v="2"/>
    <x v="1"/>
    <x v="4"/>
    <x v="4"/>
  </r>
  <r>
    <x v="400"/>
    <x v="6"/>
    <x v="7"/>
    <x v="2"/>
    <x v="7"/>
    <x v="4"/>
    <x v="30"/>
    <x v="9"/>
    <x v="11"/>
    <x v="4"/>
    <x v="0"/>
    <x v="1"/>
    <x v="3"/>
  </r>
  <r>
    <x v="401"/>
    <x v="162"/>
    <x v="5"/>
    <x v="4"/>
    <x v="5"/>
    <x v="1"/>
    <x v="27"/>
    <x v="11"/>
    <x v="6"/>
    <x v="0"/>
    <x v="0"/>
    <x v="1"/>
    <x v="2"/>
  </r>
  <r>
    <x v="402"/>
    <x v="162"/>
    <x v="3"/>
    <x v="2"/>
    <x v="3"/>
    <x v="4"/>
    <x v="63"/>
    <x v="4"/>
    <x v="10"/>
    <x v="4"/>
    <x v="0"/>
    <x v="1"/>
    <x v="2"/>
  </r>
  <r>
    <x v="403"/>
    <x v="118"/>
    <x v="9"/>
    <x v="6"/>
    <x v="9"/>
    <x v="0"/>
    <x v="19"/>
    <x v="9"/>
    <x v="11"/>
    <x v="2"/>
    <x v="0"/>
    <x v="1"/>
    <x v="1"/>
  </r>
  <r>
    <x v="404"/>
    <x v="80"/>
    <x v="2"/>
    <x v="2"/>
    <x v="2"/>
    <x v="3"/>
    <x v="13"/>
    <x v="5"/>
    <x v="10"/>
    <x v="1"/>
    <x v="1"/>
    <x v="4"/>
    <x v="0"/>
  </r>
  <r>
    <x v="405"/>
    <x v="86"/>
    <x v="12"/>
    <x v="2"/>
    <x v="2"/>
    <x v="1"/>
    <x v="2"/>
    <x v="2"/>
    <x v="5"/>
    <x v="0"/>
    <x v="1"/>
    <x v="4"/>
    <x v="2"/>
  </r>
  <r>
    <x v="406"/>
    <x v="130"/>
    <x v="13"/>
    <x v="2"/>
    <x v="12"/>
    <x v="0"/>
    <x v="65"/>
    <x v="12"/>
    <x v="9"/>
    <x v="0"/>
    <x v="0"/>
    <x v="0"/>
    <x v="6"/>
  </r>
  <r>
    <x v="407"/>
    <x v="163"/>
    <x v="8"/>
    <x v="3"/>
    <x v="8"/>
    <x v="3"/>
    <x v="60"/>
    <x v="8"/>
    <x v="3"/>
    <x v="0"/>
    <x v="0"/>
    <x v="3"/>
    <x v="4"/>
  </r>
  <r>
    <x v="408"/>
    <x v="97"/>
    <x v="5"/>
    <x v="4"/>
    <x v="5"/>
    <x v="4"/>
    <x v="58"/>
    <x v="4"/>
    <x v="5"/>
    <x v="3"/>
    <x v="1"/>
    <x v="1"/>
    <x v="6"/>
  </r>
  <r>
    <x v="409"/>
    <x v="119"/>
    <x v="2"/>
    <x v="2"/>
    <x v="2"/>
    <x v="3"/>
    <x v="13"/>
    <x v="14"/>
    <x v="6"/>
    <x v="1"/>
    <x v="2"/>
    <x v="0"/>
    <x v="0"/>
  </r>
  <r>
    <x v="410"/>
    <x v="87"/>
    <x v="13"/>
    <x v="2"/>
    <x v="12"/>
    <x v="0"/>
    <x v="65"/>
    <x v="3"/>
    <x v="7"/>
    <x v="2"/>
    <x v="0"/>
    <x v="5"/>
    <x v="4"/>
  </r>
  <r>
    <x v="411"/>
    <x v="127"/>
    <x v="5"/>
    <x v="4"/>
    <x v="5"/>
    <x v="2"/>
    <x v="53"/>
    <x v="4"/>
    <x v="9"/>
    <x v="2"/>
    <x v="0"/>
    <x v="2"/>
    <x v="4"/>
  </r>
  <r>
    <x v="412"/>
    <x v="91"/>
    <x v="8"/>
    <x v="3"/>
    <x v="8"/>
    <x v="3"/>
    <x v="60"/>
    <x v="10"/>
    <x v="0"/>
    <x v="4"/>
    <x v="1"/>
    <x v="0"/>
    <x v="2"/>
  </r>
  <r>
    <x v="413"/>
    <x v="125"/>
    <x v="0"/>
    <x v="0"/>
    <x v="0"/>
    <x v="4"/>
    <x v="45"/>
    <x v="7"/>
    <x v="6"/>
    <x v="2"/>
    <x v="0"/>
    <x v="1"/>
    <x v="1"/>
  </r>
  <r>
    <x v="414"/>
    <x v="138"/>
    <x v="6"/>
    <x v="5"/>
    <x v="6"/>
    <x v="1"/>
    <x v="34"/>
    <x v="10"/>
    <x v="3"/>
    <x v="2"/>
    <x v="1"/>
    <x v="0"/>
    <x v="6"/>
  </r>
  <r>
    <x v="415"/>
    <x v="63"/>
    <x v="10"/>
    <x v="7"/>
    <x v="10"/>
    <x v="4"/>
    <x v="48"/>
    <x v="12"/>
    <x v="1"/>
    <x v="3"/>
    <x v="2"/>
    <x v="5"/>
    <x v="4"/>
  </r>
  <r>
    <x v="416"/>
    <x v="148"/>
    <x v="4"/>
    <x v="3"/>
    <x v="4"/>
    <x v="4"/>
    <x v="61"/>
    <x v="11"/>
    <x v="4"/>
    <x v="1"/>
    <x v="2"/>
    <x v="2"/>
    <x v="3"/>
  </r>
  <r>
    <x v="417"/>
    <x v="91"/>
    <x v="5"/>
    <x v="4"/>
    <x v="5"/>
    <x v="0"/>
    <x v="7"/>
    <x v="5"/>
    <x v="5"/>
    <x v="0"/>
    <x v="2"/>
    <x v="0"/>
    <x v="2"/>
  </r>
  <r>
    <x v="418"/>
    <x v="66"/>
    <x v="9"/>
    <x v="6"/>
    <x v="9"/>
    <x v="2"/>
    <x v="55"/>
    <x v="10"/>
    <x v="9"/>
    <x v="0"/>
    <x v="0"/>
    <x v="4"/>
    <x v="2"/>
  </r>
  <r>
    <x v="419"/>
    <x v="17"/>
    <x v="6"/>
    <x v="5"/>
    <x v="6"/>
    <x v="2"/>
    <x v="51"/>
    <x v="3"/>
    <x v="4"/>
    <x v="1"/>
    <x v="0"/>
    <x v="5"/>
    <x v="2"/>
  </r>
  <r>
    <x v="420"/>
    <x v="158"/>
    <x v="7"/>
    <x v="2"/>
    <x v="7"/>
    <x v="2"/>
    <x v="54"/>
    <x v="3"/>
    <x v="5"/>
    <x v="4"/>
    <x v="0"/>
    <x v="1"/>
    <x v="0"/>
  </r>
  <r>
    <x v="421"/>
    <x v="151"/>
    <x v="9"/>
    <x v="6"/>
    <x v="9"/>
    <x v="1"/>
    <x v="17"/>
    <x v="9"/>
    <x v="2"/>
    <x v="2"/>
    <x v="0"/>
    <x v="5"/>
    <x v="6"/>
  </r>
  <r>
    <x v="422"/>
    <x v="55"/>
    <x v="11"/>
    <x v="6"/>
    <x v="11"/>
    <x v="1"/>
    <x v="20"/>
    <x v="14"/>
    <x v="3"/>
    <x v="1"/>
    <x v="2"/>
    <x v="2"/>
    <x v="4"/>
  </r>
  <r>
    <x v="423"/>
    <x v="164"/>
    <x v="7"/>
    <x v="2"/>
    <x v="7"/>
    <x v="1"/>
    <x v="62"/>
    <x v="14"/>
    <x v="10"/>
    <x v="3"/>
    <x v="0"/>
    <x v="4"/>
    <x v="1"/>
  </r>
  <r>
    <x v="424"/>
    <x v="0"/>
    <x v="3"/>
    <x v="2"/>
    <x v="3"/>
    <x v="2"/>
    <x v="3"/>
    <x v="7"/>
    <x v="6"/>
    <x v="3"/>
    <x v="0"/>
    <x v="0"/>
    <x v="0"/>
  </r>
  <r>
    <x v="425"/>
    <x v="23"/>
    <x v="7"/>
    <x v="2"/>
    <x v="7"/>
    <x v="4"/>
    <x v="30"/>
    <x v="13"/>
    <x v="11"/>
    <x v="0"/>
    <x v="0"/>
    <x v="3"/>
    <x v="1"/>
  </r>
  <r>
    <x v="426"/>
    <x v="34"/>
    <x v="14"/>
    <x v="2"/>
    <x v="13"/>
    <x v="4"/>
    <x v="35"/>
    <x v="0"/>
    <x v="8"/>
    <x v="3"/>
    <x v="0"/>
    <x v="2"/>
    <x v="4"/>
  </r>
  <r>
    <x v="427"/>
    <x v="165"/>
    <x v="9"/>
    <x v="6"/>
    <x v="9"/>
    <x v="1"/>
    <x v="17"/>
    <x v="11"/>
    <x v="3"/>
    <x v="1"/>
    <x v="0"/>
    <x v="1"/>
    <x v="3"/>
  </r>
  <r>
    <x v="428"/>
    <x v="4"/>
    <x v="8"/>
    <x v="3"/>
    <x v="8"/>
    <x v="1"/>
    <x v="69"/>
    <x v="2"/>
    <x v="4"/>
    <x v="3"/>
    <x v="0"/>
    <x v="2"/>
    <x v="1"/>
  </r>
  <r>
    <x v="429"/>
    <x v="28"/>
    <x v="10"/>
    <x v="7"/>
    <x v="10"/>
    <x v="0"/>
    <x v="33"/>
    <x v="14"/>
    <x v="3"/>
    <x v="4"/>
    <x v="2"/>
    <x v="4"/>
    <x v="3"/>
  </r>
  <r>
    <x v="430"/>
    <x v="26"/>
    <x v="10"/>
    <x v="7"/>
    <x v="10"/>
    <x v="0"/>
    <x v="33"/>
    <x v="14"/>
    <x v="4"/>
    <x v="2"/>
    <x v="0"/>
    <x v="4"/>
    <x v="5"/>
  </r>
  <r>
    <x v="431"/>
    <x v="19"/>
    <x v="12"/>
    <x v="2"/>
    <x v="2"/>
    <x v="1"/>
    <x v="2"/>
    <x v="8"/>
    <x v="0"/>
    <x v="4"/>
    <x v="2"/>
    <x v="2"/>
    <x v="5"/>
  </r>
  <r>
    <x v="432"/>
    <x v="102"/>
    <x v="0"/>
    <x v="0"/>
    <x v="0"/>
    <x v="0"/>
    <x v="0"/>
    <x v="13"/>
    <x v="3"/>
    <x v="4"/>
    <x v="0"/>
    <x v="5"/>
    <x v="3"/>
  </r>
  <r>
    <x v="433"/>
    <x v="52"/>
    <x v="1"/>
    <x v="1"/>
    <x v="1"/>
    <x v="4"/>
    <x v="21"/>
    <x v="7"/>
    <x v="4"/>
    <x v="1"/>
    <x v="0"/>
    <x v="4"/>
    <x v="2"/>
  </r>
  <r>
    <x v="434"/>
    <x v="127"/>
    <x v="12"/>
    <x v="2"/>
    <x v="2"/>
    <x v="0"/>
    <x v="5"/>
    <x v="2"/>
    <x v="2"/>
    <x v="1"/>
    <x v="2"/>
    <x v="2"/>
    <x v="4"/>
  </r>
  <r>
    <x v="435"/>
    <x v="9"/>
    <x v="12"/>
    <x v="2"/>
    <x v="2"/>
    <x v="4"/>
    <x v="38"/>
    <x v="12"/>
    <x v="6"/>
    <x v="4"/>
    <x v="1"/>
    <x v="0"/>
    <x v="4"/>
  </r>
  <r>
    <x v="436"/>
    <x v="97"/>
    <x v="0"/>
    <x v="0"/>
    <x v="0"/>
    <x v="4"/>
    <x v="45"/>
    <x v="2"/>
    <x v="10"/>
    <x v="0"/>
    <x v="2"/>
    <x v="1"/>
    <x v="6"/>
  </r>
  <r>
    <x v="437"/>
    <x v="82"/>
    <x v="4"/>
    <x v="3"/>
    <x v="4"/>
    <x v="2"/>
    <x v="37"/>
    <x v="0"/>
    <x v="2"/>
    <x v="1"/>
    <x v="0"/>
    <x v="0"/>
    <x v="3"/>
  </r>
  <r>
    <x v="438"/>
    <x v="102"/>
    <x v="14"/>
    <x v="2"/>
    <x v="13"/>
    <x v="1"/>
    <x v="66"/>
    <x v="12"/>
    <x v="4"/>
    <x v="0"/>
    <x v="0"/>
    <x v="5"/>
    <x v="3"/>
  </r>
  <r>
    <x v="439"/>
    <x v="166"/>
    <x v="4"/>
    <x v="3"/>
    <x v="4"/>
    <x v="4"/>
    <x v="61"/>
    <x v="12"/>
    <x v="3"/>
    <x v="1"/>
    <x v="0"/>
    <x v="2"/>
    <x v="1"/>
  </r>
  <r>
    <x v="440"/>
    <x v="51"/>
    <x v="13"/>
    <x v="2"/>
    <x v="12"/>
    <x v="3"/>
    <x v="23"/>
    <x v="6"/>
    <x v="10"/>
    <x v="1"/>
    <x v="0"/>
    <x v="3"/>
    <x v="0"/>
  </r>
  <r>
    <x v="441"/>
    <x v="164"/>
    <x v="9"/>
    <x v="6"/>
    <x v="9"/>
    <x v="1"/>
    <x v="17"/>
    <x v="5"/>
    <x v="9"/>
    <x v="0"/>
    <x v="2"/>
    <x v="4"/>
    <x v="1"/>
  </r>
  <r>
    <x v="442"/>
    <x v="71"/>
    <x v="12"/>
    <x v="2"/>
    <x v="2"/>
    <x v="3"/>
    <x v="13"/>
    <x v="3"/>
    <x v="6"/>
    <x v="0"/>
    <x v="0"/>
    <x v="4"/>
    <x v="5"/>
  </r>
  <r>
    <x v="443"/>
    <x v="71"/>
    <x v="1"/>
    <x v="1"/>
    <x v="1"/>
    <x v="4"/>
    <x v="21"/>
    <x v="1"/>
    <x v="2"/>
    <x v="1"/>
    <x v="2"/>
    <x v="4"/>
    <x v="5"/>
  </r>
  <r>
    <x v="444"/>
    <x v="136"/>
    <x v="1"/>
    <x v="1"/>
    <x v="1"/>
    <x v="2"/>
    <x v="52"/>
    <x v="6"/>
    <x v="4"/>
    <x v="2"/>
    <x v="0"/>
    <x v="3"/>
    <x v="1"/>
  </r>
  <r>
    <x v="445"/>
    <x v="167"/>
    <x v="14"/>
    <x v="2"/>
    <x v="13"/>
    <x v="4"/>
    <x v="35"/>
    <x v="11"/>
    <x v="5"/>
    <x v="3"/>
    <x v="0"/>
    <x v="5"/>
    <x v="4"/>
  </r>
  <r>
    <x v="446"/>
    <x v="7"/>
    <x v="10"/>
    <x v="7"/>
    <x v="10"/>
    <x v="1"/>
    <x v="59"/>
    <x v="6"/>
    <x v="2"/>
    <x v="2"/>
    <x v="0"/>
    <x v="3"/>
    <x v="4"/>
  </r>
  <r>
    <x v="447"/>
    <x v="148"/>
    <x v="1"/>
    <x v="1"/>
    <x v="1"/>
    <x v="1"/>
    <x v="4"/>
    <x v="5"/>
    <x v="7"/>
    <x v="1"/>
    <x v="0"/>
    <x v="2"/>
    <x v="3"/>
  </r>
  <r>
    <x v="448"/>
    <x v="134"/>
    <x v="9"/>
    <x v="6"/>
    <x v="9"/>
    <x v="2"/>
    <x v="55"/>
    <x v="14"/>
    <x v="1"/>
    <x v="4"/>
    <x v="0"/>
    <x v="0"/>
    <x v="3"/>
  </r>
  <r>
    <x v="449"/>
    <x v="61"/>
    <x v="2"/>
    <x v="2"/>
    <x v="2"/>
    <x v="1"/>
    <x v="2"/>
    <x v="3"/>
    <x v="9"/>
    <x v="0"/>
    <x v="0"/>
    <x v="5"/>
    <x v="1"/>
  </r>
  <r>
    <x v="450"/>
    <x v="127"/>
    <x v="7"/>
    <x v="2"/>
    <x v="7"/>
    <x v="0"/>
    <x v="10"/>
    <x v="3"/>
    <x v="11"/>
    <x v="1"/>
    <x v="0"/>
    <x v="2"/>
    <x v="4"/>
  </r>
  <r>
    <x v="451"/>
    <x v="23"/>
    <x v="9"/>
    <x v="6"/>
    <x v="9"/>
    <x v="0"/>
    <x v="19"/>
    <x v="9"/>
    <x v="0"/>
    <x v="3"/>
    <x v="2"/>
    <x v="3"/>
    <x v="1"/>
  </r>
  <r>
    <x v="452"/>
    <x v="53"/>
    <x v="12"/>
    <x v="2"/>
    <x v="2"/>
    <x v="1"/>
    <x v="2"/>
    <x v="0"/>
    <x v="4"/>
    <x v="2"/>
    <x v="2"/>
    <x v="3"/>
    <x v="3"/>
  </r>
  <r>
    <x v="453"/>
    <x v="142"/>
    <x v="0"/>
    <x v="0"/>
    <x v="0"/>
    <x v="2"/>
    <x v="15"/>
    <x v="12"/>
    <x v="2"/>
    <x v="3"/>
    <x v="2"/>
    <x v="4"/>
    <x v="5"/>
  </r>
  <r>
    <x v="454"/>
    <x v="98"/>
    <x v="1"/>
    <x v="1"/>
    <x v="1"/>
    <x v="3"/>
    <x v="46"/>
    <x v="14"/>
    <x v="1"/>
    <x v="0"/>
    <x v="0"/>
    <x v="5"/>
    <x v="5"/>
  </r>
  <r>
    <x v="455"/>
    <x v="62"/>
    <x v="1"/>
    <x v="1"/>
    <x v="1"/>
    <x v="0"/>
    <x v="1"/>
    <x v="3"/>
    <x v="7"/>
    <x v="1"/>
    <x v="2"/>
    <x v="4"/>
    <x v="3"/>
  </r>
  <r>
    <x v="456"/>
    <x v="142"/>
    <x v="4"/>
    <x v="3"/>
    <x v="4"/>
    <x v="2"/>
    <x v="37"/>
    <x v="12"/>
    <x v="6"/>
    <x v="1"/>
    <x v="0"/>
    <x v="4"/>
    <x v="5"/>
  </r>
  <r>
    <x v="457"/>
    <x v="13"/>
    <x v="2"/>
    <x v="2"/>
    <x v="2"/>
    <x v="1"/>
    <x v="2"/>
    <x v="12"/>
    <x v="7"/>
    <x v="4"/>
    <x v="0"/>
    <x v="1"/>
    <x v="0"/>
  </r>
  <r>
    <x v="458"/>
    <x v="124"/>
    <x v="13"/>
    <x v="2"/>
    <x v="12"/>
    <x v="4"/>
    <x v="26"/>
    <x v="13"/>
    <x v="5"/>
    <x v="2"/>
    <x v="1"/>
    <x v="4"/>
    <x v="1"/>
  </r>
  <r>
    <x v="459"/>
    <x v="41"/>
    <x v="2"/>
    <x v="2"/>
    <x v="2"/>
    <x v="2"/>
    <x v="8"/>
    <x v="2"/>
    <x v="5"/>
    <x v="0"/>
    <x v="0"/>
    <x v="0"/>
    <x v="2"/>
  </r>
  <r>
    <x v="460"/>
    <x v="55"/>
    <x v="13"/>
    <x v="2"/>
    <x v="12"/>
    <x v="0"/>
    <x v="65"/>
    <x v="0"/>
    <x v="1"/>
    <x v="1"/>
    <x v="0"/>
    <x v="2"/>
    <x v="4"/>
  </r>
  <r>
    <x v="461"/>
    <x v="35"/>
    <x v="8"/>
    <x v="3"/>
    <x v="8"/>
    <x v="2"/>
    <x v="40"/>
    <x v="11"/>
    <x v="10"/>
    <x v="2"/>
    <x v="0"/>
    <x v="2"/>
    <x v="2"/>
  </r>
  <r>
    <x v="462"/>
    <x v="66"/>
    <x v="9"/>
    <x v="6"/>
    <x v="9"/>
    <x v="0"/>
    <x v="19"/>
    <x v="4"/>
    <x v="7"/>
    <x v="0"/>
    <x v="1"/>
    <x v="4"/>
    <x v="2"/>
  </r>
  <r>
    <x v="463"/>
    <x v="108"/>
    <x v="1"/>
    <x v="1"/>
    <x v="1"/>
    <x v="3"/>
    <x v="46"/>
    <x v="11"/>
    <x v="10"/>
    <x v="0"/>
    <x v="0"/>
    <x v="3"/>
    <x v="1"/>
  </r>
  <r>
    <x v="464"/>
    <x v="152"/>
    <x v="10"/>
    <x v="7"/>
    <x v="10"/>
    <x v="3"/>
    <x v="14"/>
    <x v="12"/>
    <x v="1"/>
    <x v="3"/>
    <x v="0"/>
    <x v="2"/>
    <x v="6"/>
  </r>
  <r>
    <x v="465"/>
    <x v="22"/>
    <x v="7"/>
    <x v="2"/>
    <x v="7"/>
    <x v="4"/>
    <x v="30"/>
    <x v="12"/>
    <x v="2"/>
    <x v="3"/>
    <x v="2"/>
    <x v="3"/>
    <x v="2"/>
  </r>
  <r>
    <x v="466"/>
    <x v="119"/>
    <x v="5"/>
    <x v="4"/>
    <x v="5"/>
    <x v="4"/>
    <x v="58"/>
    <x v="5"/>
    <x v="0"/>
    <x v="0"/>
    <x v="0"/>
    <x v="0"/>
    <x v="0"/>
  </r>
  <r>
    <x v="467"/>
    <x v="152"/>
    <x v="3"/>
    <x v="2"/>
    <x v="3"/>
    <x v="2"/>
    <x v="3"/>
    <x v="13"/>
    <x v="7"/>
    <x v="1"/>
    <x v="0"/>
    <x v="2"/>
    <x v="6"/>
  </r>
  <r>
    <x v="468"/>
    <x v="4"/>
    <x v="8"/>
    <x v="3"/>
    <x v="8"/>
    <x v="4"/>
    <x v="50"/>
    <x v="0"/>
    <x v="2"/>
    <x v="0"/>
    <x v="2"/>
    <x v="2"/>
    <x v="1"/>
  </r>
  <r>
    <x v="469"/>
    <x v="14"/>
    <x v="7"/>
    <x v="2"/>
    <x v="7"/>
    <x v="0"/>
    <x v="10"/>
    <x v="10"/>
    <x v="10"/>
    <x v="3"/>
    <x v="0"/>
    <x v="4"/>
    <x v="3"/>
  </r>
  <r>
    <x v="470"/>
    <x v="17"/>
    <x v="11"/>
    <x v="6"/>
    <x v="11"/>
    <x v="0"/>
    <x v="16"/>
    <x v="4"/>
    <x v="7"/>
    <x v="0"/>
    <x v="2"/>
    <x v="5"/>
    <x v="2"/>
  </r>
  <r>
    <x v="471"/>
    <x v="168"/>
    <x v="5"/>
    <x v="4"/>
    <x v="5"/>
    <x v="2"/>
    <x v="53"/>
    <x v="4"/>
    <x v="5"/>
    <x v="2"/>
    <x v="2"/>
    <x v="0"/>
    <x v="1"/>
  </r>
  <r>
    <x v="472"/>
    <x v="158"/>
    <x v="13"/>
    <x v="2"/>
    <x v="12"/>
    <x v="1"/>
    <x v="24"/>
    <x v="4"/>
    <x v="0"/>
    <x v="4"/>
    <x v="0"/>
    <x v="1"/>
    <x v="0"/>
  </r>
  <r>
    <x v="473"/>
    <x v="65"/>
    <x v="0"/>
    <x v="0"/>
    <x v="0"/>
    <x v="1"/>
    <x v="56"/>
    <x v="9"/>
    <x v="8"/>
    <x v="2"/>
    <x v="0"/>
    <x v="2"/>
    <x v="4"/>
  </r>
  <r>
    <x v="474"/>
    <x v="88"/>
    <x v="2"/>
    <x v="2"/>
    <x v="2"/>
    <x v="3"/>
    <x v="13"/>
    <x v="8"/>
    <x v="11"/>
    <x v="1"/>
    <x v="0"/>
    <x v="2"/>
    <x v="5"/>
  </r>
  <r>
    <x v="475"/>
    <x v="161"/>
    <x v="13"/>
    <x v="2"/>
    <x v="12"/>
    <x v="3"/>
    <x v="23"/>
    <x v="3"/>
    <x v="11"/>
    <x v="2"/>
    <x v="0"/>
    <x v="4"/>
    <x v="4"/>
  </r>
  <r>
    <x v="476"/>
    <x v="27"/>
    <x v="14"/>
    <x v="2"/>
    <x v="13"/>
    <x v="4"/>
    <x v="35"/>
    <x v="14"/>
    <x v="0"/>
    <x v="3"/>
    <x v="2"/>
    <x v="3"/>
    <x v="0"/>
  </r>
  <r>
    <x v="477"/>
    <x v="32"/>
    <x v="0"/>
    <x v="0"/>
    <x v="0"/>
    <x v="0"/>
    <x v="0"/>
    <x v="4"/>
    <x v="5"/>
    <x v="4"/>
    <x v="0"/>
    <x v="2"/>
    <x v="1"/>
  </r>
  <r>
    <x v="478"/>
    <x v="36"/>
    <x v="0"/>
    <x v="0"/>
    <x v="0"/>
    <x v="2"/>
    <x v="15"/>
    <x v="8"/>
    <x v="4"/>
    <x v="0"/>
    <x v="0"/>
    <x v="3"/>
    <x v="3"/>
  </r>
  <r>
    <x v="479"/>
    <x v="131"/>
    <x v="11"/>
    <x v="6"/>
    <x v="11"/>
    <x v="1"/>
    <x v="20"/>
    <x v="3"/>
    <x v="3"/>
    <x v="2"/>
    <x v="2"/>
    <x v="0"/>
    <x v="3"/>
  </r>
  <r>
    <x v="480"/>
    <x v="28"/>
    <x v="12"/>
    <x v="2"/>
    <x v="2"/>
    <x v="1"/>
    <x v="2"/>
    <x v="10"/>
    <x v="5"/>
    <x v="3"/>
    <x v="0"/>
    <x v="4"/>
    <x v="3"/>
  </r>
  <r>
    <x v="481"/>
    <x v="25"/>
    <x v="6"/>
    <x v="5"/>
    <x v="6"/>
    <x v="0"/>
    <x v="9"/>
    <x v="6"/>
    <x v="10"/>
    <x v="1"/>
    <x v="0"/>
    <x v="3"/>
    <x v="4"/>
  </r>
  <r>
    <x v="482"/>
    <x v="54"/>
    <x v="13"/>
    <x v="2"/>
    <x v="12"/>
    <x v="0"/>
    <x v="65"/>
    <x v="8"/>
    <x v="11"/>
    <x v="0"/>
    <x v="0"/>
    <x v="4"/>
    <x v="6"/>
  </r>
  <r>
    <x v="483"/>
    <x v="155"/>
    <x v="7"/>
    <x v="2"/>
    <x v="7"/>
    <x v="3"/>
    <x v="44"/>
    <x v="6"/>
    <x v="11"/>
    <x v="3"/>
    <x v="0"/>
    <x v="3"/>
    <x v="5"/>
  </r>
  <r>
    <x v="484"/>
    <x v="137"/>
    <x v="0"/>
    <x v="0"/>
    <x v="0"/>
    <x v="1"/>
    <x v="56"/>
    <x v="2"/>
    <x v="4"/>
    <x v="2"/>
    <x v="2"/>
    <x v="4"/>
    <x v="2"/>
  </r>
  <r>
    <x v="485"/>
    <x v="87"/>
    <x v="10"/>
    <x v="7"/>
    <x v="10"/>
    <x v="1"/>
    <x v="59"/>
    <x v="8"/>
    <x v="9"/>
    <x v="2"/>
    <x v="0"/>
    <x v="5"/>
    <x v="4"/>
  </r>
  <r>
    <x v="486"/>
    <x v="89"/>
    <x v="6"/>
    <x v="5"/>
    <x v="6"/>
    <x v="2"/>
    <x v="51"/>
    <x v="1"/>
    <x v="5"/>
    <x v="0"/>
    <x v="0"/>
    <x v="5"/>
    <x v="2"/>
  </r>
  <r>
    <x v="487"/>
    <x v="155"/>
    <x v="13"/>
    <x v="2"/>
    <x v="12"/>
    <x v="3"/>
    <x v="23"/>
    <x v="1"/>
    <x v="6"/>
    <x v="1"/>
    <x v="0"/>
    <x v="3"/>
    <x v="5"/>
  </r>
  <r>
    <x v="488"/>
    <x v="140"/>
    <x v="4"/>
    <x v="3"/>
    <x v="4"/>
    <x v="2"/>
    <x v="37"/>
    <x v="2"/>
    <x v="4"/>
    <x v="1"/>
    <x v="0"/>
    <x v="1"/>
    <x v="0"/>
  </r>
  <r>
    <x v="489"/>
    <x v="94"/>
    <x v="2"/>
    <x v="2"/>
    <x v="2"/>
    <x v="4"/>
    <x v="38"/>
    <x v="8"/>
    <x v="6"/>
    <x v="4"/>
    <x v="0"/>
    <x v="3"/>
    <x v="6"/>
  </r>
  <r>
    <x v="490"/>
    <x v="134"/>
    <x v="8"/>
    <x v="3"/>
    <x v="8"/>
    <x v="1"/>
    <x v="69"/>
    <x v="10"/>
    <x v="1"/>
    <x v="1"/>
    <x v="1"/>
    <x v="0"/>
    <x v="3"/>
  </r>
  <r>
    <x v="491"/>
    <x v="111"/>
    <x v="13"/>
    <x v="2"/>
    <x v="12"/>
    <x v="4"/>
    <x v="26"/>
    <x v="4"/>
    <x v="6"/>
    <x v="4"/>
    <x v="0"/>
    <x v="5"/>
    <x v="3"/>
  </r>
  <r>
    <x v="492"/>
    <x v="131"/>
    <x v="8"/>
    <x v="3"/>
    <x v="8"/>
    <x v="3"/>
    <x v="60"/>
    <x v="1"/>
    <x v="7"/>
    <x v="2"/>
    <x v="0"/>
    <x v="0"/>
    <x v="3"/>
  </r>
  <r>
    <x v="493"/>
    <x v="62"/>
    <x v="10"/>
    <x v="7"/>
    <x v="10"/>
    <x v="4"/>
    <x v="48"/>
    <x v="11"/>
    <x v="11"/>
    <x v="3"/>
    <x v="0"/>
    <x v="4"/>
    <x v="3"/>
  </r>
  <r>
    <x v="494"/>
    <x v="85"/>
    <x v="10"/>
    <x v="7"/>
    <x v="10"/>
    <x v="2"/>
    <x v="22"/>
    <x v="1"/>
    <x v="10"/>
    <x v="1"/>
    <x v="2"/>
    <x v="2"/>
    <x v="2"/>
  </r>
  <r>
    <x v="495"/>
    <x v="83"/>
    <x v="10"/>
    <x v="7"/>
    <x v="10"/>
    <x v="0"/>
    <x v="33"/>
    <x v="1"/>
    <x v="1"/>
    <x v="1"/>
    <x v="0"/>
    <x v="1"/>
    <x v="3"/>
  </r>
  <r>
    <x v="496"/>
    <x v="136"/>
    <x v="3"/>
    <x v="2"/>
    <x v="3"/>
    <x v="3"/>
    <x v="41"/>
    <x v="3"/>
    <x v="1"/>
    <x v="3"/>
    <x v="0"/>
    <x v="3"/>
    <x v="1"/>
  </r>
  <r>
    <x v="497"/>
    <x v="58"/>
    <x v="11"/>
    <x v="6"/>
    <x v="11"/>
    <x v="2"/>
    <x v="68"/>
    <x v="5"/>
    <x v="2"/>
    <x v="1"/>
    <x v="0"/>
    <x v="3"/>
    <x v="1"/>
  </r>
  <r>
    <x v="498"/>
    <x v="1"/>
    <x v="0"/>
    <x v="0"/>
    <x v="0"/>
    <x v="0"/>
    <x v="0"/>
    <x v="13"/>
    <x v="4"/>
    <x v="3"/>
    <x v="0"/>
    <x v="1"/>
    <x v="1"/>
  </r>
  <r>
    <x v="499"/>
    <x v="40"/>
    <x v="3"/>
    <x v="2"/>
    <x v="3"/>
    <x v="1"/>
    <x v="47"/>
    <x v="5"/>
    <x v="2"/>
    <x v="2"/>
    <x v="0"/>
    <x v="5"/>
    <x v="5"/>
  </r>
  <r>
    <x v="500"/>
    <x v="74"/>
    <x v="11"/>
    <x v="6"/>
    <x v="11"/>
    <x v="1"/>
    <x v="20"/>
    <x v="9"/>
    <x v="6"/>
    <x v="2"/>
    <x v="0"/>
    <x v="2"/>
    <x v="4"/>
  </r>
  <r>
    <x v="501"/>
    <x v="86"/>
    <x v="13"/>
    <x v="2"/>
    <x v="12"/>
    <x v="1"/>
    <x v="24"/>
    <x v="4"/>
    <x v="9"/>
    <x v="2"/>
    <x v="0"/>
    <x v="4"/>
    <x v="2"/>
  </r>
  <r>
    <x v="502"/>
    <x v="18"/>
    <x v="10"/>
    <x v="7"/>
    <x v="10"/>
    <x v="0"/>
    <x v="33"/>
    <x v="7"/>
    <x v="9"/>
    <x v="3"/>
    <x v="0"/>
    <x v="1"/>
    <x v="2"/>
  </r>
  <r>
    <x v="503"/>
    <x v="66"/>
    <x v="6"/>
    <x v="5"/>
    <x v="6"/>
    <x v="0"/>
    <x v="9"/>
    <x v="3"/>
    <x v="6"/>
    <x v="4"/>
    <x v="1"/>
    <x v="4"/>
    <x v="2"/>
  </r>
  <r>
    <x v="504"/>
    <x v="92"/>
    <x v="6"/>
    <x v="5"/>
    <x v="6"/>
    <x v="1"/>
    <x v="34"/>
    <x v="2"/>
    <x v="0"/>
    <x v="2"/>
    <x v="2"/>
    <x v="0"/>
    <x v="2"/>
  </r>
  <r>
    <x v="505"/>
    <x v="161"/>
    <x v="12"/>
    <x v="2"/>
    <x v="2"/>
    <x v="3"/>
    <x v="13"/>
    <x v="7"/>
    <x v="2"/>
    <x v="0"/>
    <x v="0"/>
    <x v="4"/>
    <x v="4"/>
  </r>
  <r>
    <x v="506"/>
    <x v="169"/>
    <x v="8"/>
    <x v="3"/>
    <x v="8"/>
    <x v="2"/>
    <x v="40"/>
    <x v="4"/>
    <x v="0"/>
    <x v="4"/>
    <x v="0"/>
    <x v="0"/>
    <x v="1"/>
  </r>
  <r>
    <x v="507"/>
    <x v="1"/>
    <x v="3"/>
    <x v="2"/>
    <x v="3"/>
    <x v="4"/>
    <x v="63"/>
    <x v="12"/>
    <x v="8"/>
    <x v="3"/>
    <x v="2"/>
    <x v="1"/>
    <x v="1"/>
  </r>
  <r>
    <x v="508"/>
    <x v="170"/>
    <x v="6"/>
    <x v="5"/>
    <x v="6"/>
    <x v="0"/>
    <x v="9"/>
    <x v="8"/>
    <x v="3"/>
    <x v="2"/>
    <x v="0"/>
    <x v="2"/>
    <x v="6"/>
  </r>
  <r>
    <x v="509"/>
    <x v="148"/>
    <x v="4"/>
    <x v="3"/>
    <x v="4"/>
    <x v="4"/>
    <x v="61"/>
    <x v="11"/>
    <x v="4"/>
    <x v="1"/>
    <x v="0"/>
    <x v="2"/>
    <x v="3"/>
  </r>
  <r>
    <x v="510"/>
    <x v="68"/>
    <x v="11"/>
    <x v="6"/>
    <x v="11"/>
    <x v="4"/>
    <x v="29"/>
    <x v="7"/>
    <x v="4"/>
    <x v="1"/>
    <x v="0"/>
    <x v="4"/>
    <x v="4"/>
  </r>
  <r>
    <x v="511"/>
    <x v="101"/>
    <x v="3"/>
    <x v="2"/>
    <x v="3"/>
    <x v="0"/>
    <x v="18"/>
    <x v="2"/>
    <x v="6"/>
    <x v="3"/>
    <x v="1"/>
    <x v="3"/>
    <x v="2"/>
  </r>
  <r>
    <x v="512"/>
    <x v="91"/>
    <x v="12"/>
    <x v="2"/>
    <x v="2"/>
    <x v="1"/>
    <x v="2"/>
    <x v="2"/>
    <x v="5"/>
    <x v="0"/>
    <x v="0"/>
    <x v="0"/>
    <x v="2"/>
  </r>
  <r>
    <x v="513"/>
    <x v="10"/>
    <x v="14"/>
    <x v="2"/>
    <x v="13"/>
    <x v="2"/>
    <x v="32"/>
    <x v="3"/>
    <x v="9"/>
    <x v="2"/>
    <x v="0"/>
    <x v="4"/>
    <x v="0"/>
  </r>
  <r>
    <x v="514"/>
    <x v="47"/>
    <x v="9"/>
    <x v="6"/>
    <x v="9"/>
    <x v="4"/>
    <x v="57"/>
    <x v="5"/>
    <x v="4"/>
    <x v="3"/>
    <x v="0"/>
    <x v="2"/>
    <x v="0"/>
  </r>
  <r>
    <x v="515"/>
    <x v="53"/>
    <x v="13"/>
    <x v="2"/>
    <x v="12"/>
    <x v="4"/>
    <x v="26"/>
    <x v="0"/>
    <x v="6"/>
    <x v="4"/>
    <x v="0"/>
    <x v="3"/>
    <x v="3"/>
  </r>
  <r>
    <x v="516"/>
    <x v="52"/>
    <x v="8"/>
    <x v="3"/>
    <x v="8"/>
    <x v="3"/>
    <x v="60"/>
    <x v="4"/>
    <x v="0"/>
    <x v="3"/>
    <x v="0"/>
    <x v="4"/>
    <x v="2"/>
  </r>
  <r>
    <x v="517"/>
    <x v="127"/>
    <x v="14"/>
    <x v="2"/>
    <x v="13"/>
    <x v="1"/>
    <x v="66"/>
    <x v="7"/>
    <x v="0"/>
    <x v="4"/>
    <x v="2"/>
    <x v="2"/>
    <x v="4"/>
  </r>
  <r>
    <x v="518"/>
    <x v="103"/>
    <x v="2"/>
    <x v="2"/>
    <x v="2"/>
    <x v="4"/>
    <x v="38"/>
    <x v="8"/>
    <x v="8"/>
    <x v="1"/>
    <x v="0"/>
    <x v="3"/>
    <x v="5"/>
  </r>
  <r>
    <x v="519"/>
    <x v="46"/>
    <x v="3"/>
    <x v="2"/>
    <x v="3"/>
    <x v="2"/>
    <x v="3"/>
    <x v="5"/>
    <x v="5"/>
    <x v="4"/>
    <x v="0"/>
    <x v="5"/>
    <x v="3"/>
  </r>
  <r>
    <x v="520"/>
    <x v="73"/>
    <x v="4"/>
    <x v="3"/>
    <x v="4"/>
    <x v="3"/>
    <x v="49"/>
    <x v="1"/>
    <x v="11"/>
    <x v="2"/>
    <x v="0"/>
    <x v="3"/>
    <x v="2"/>
  </r>
  <r>
    <x v="521"/>
    <x v="47"/>
    <x v="12"/>
    <x v="2"/>
    <x v="2"/>
    <x v="3"/>
    <x v="13"/>
    <x v="11"/>
    <x v="1"/>
    <x v="4"/>
    <x v="0"/>
    <x v="2"/>
    <x v="0"/>
  </r>
  <r>
    <x v="522"/>
    <x v="69"/>
    <x v="6"/>
    <x v="5"/>
    <x v="6"/>
    <x v="3"/>
    <x v="39"/>
    <x v="11"/>
    <x v="9"/>
    <x v="4"/>
    <x v="0"/>
    <x v="2"/>
    <x v="0"/>
  </r>
  <r>
    <x v="523"/>
    <x v="135"/>
    <x v="1"/>
    <x v="1"/>
    <x v="1"/>
    <x v="4"/>
    <x v="21"/>
    <x v="3"/>
    <x v="0"/>
    <x v="2"/>
    <x v="2"/>
    <x v="3"/>
    <x v="3"/>
  </r>
  <r>
    <x v="524"/>
    <x v="15"/>
    <x v="1"/>
    <x v="1"/>
    <x v="1"/>
    <x v="0"/>
    <x v="1"/>
    <x v="1"/>
    <x v="8"/>
    <x v="4"/>
    <x v="0"/>
    <x v="2"/>
    <x v="2"/>
  </r>
  <r>
    <x v="525"/>
    <x v="97"/>
    <x v="5"/>
    <x v="4"/>
    <x v="5"/>
    <x v="1"/>
    <x v="27"/>
    <x v="12"/>
    <x v="5"/>
    <x v="4"/>
    <x v="0"/>
    <x v="1"/>
    <x v="6"/>
  </r>
  <r>
    <x v="526"/>
    <x v="68"/>
    <x v="10"/>
    <x v="7"/>
    <x v="10"/>
    <x v="3"/>
    <x v="14"/>
    <x v="1"/>
    <x v="2"/>
    <x v="0"/>
    <x v="0"/>
    <x v="4"/>
    <x v="4"/>
  </r>
  <r>
    <x v="527"/>
    <x v="120"/>
    <x v="13"/>
    <x v="2"/>
    <x v="12"/>
    <x v="4"/>
    <x v="26"/>
    <x v="0"/>
    <x v="7"/>
    <x v="2"/>
    <x v="0"/>
    <x v="1"/>
    <x v="5"/>
  </r>
  <r>
    <x v="528"/>
    <x v="88"/>
    <x v="0"/>
    <x v="0"/>
    <x v="0"/>
    <x v="0"/>
    <x v="0"/>
    <x v="7"/>
    <x v="1"/>
    <x v="3"/>
    <x v="0"/>
    <x v="2"/>
    <x v="5"/>
  </r>
  <r>
    <x v="529"/>
    <x v="16"/>
    <x v="10"/>
    <x v="7"/>
    <x v="10"/>
    <x v="0"/>
    <x v="33"/>
    <x v="10"/>
    <x v="4"/>
    <x v="1"/>
    <x v="0"/>
    <x v="3"/>
    <x v="1"/>
  </r>
  <r>
    <x v="530"/>
    <x v="46"/>
    <x v="7"/>
    <x v="2"/>
    <x v="7"/>
    <x v="0"/>
    <x v="10"/>
    <x v="5"/>
    <x v="5"/>
    <x v="1"/>
    <x v="0"/>
    <x v="5"/>
    <x v="3"/>
  </r>
  <r>
    <x v="531"/>
    <x v="57"/>
    <x v="9"/>
    <x v="6"/>
    <x v="9"/>
    <x v="2"/>
    <x v="55"/>
    <x v="0"/>
    <x v="1"/>
    <x v="0"/>
    <x v="0"/>
    <x v="1"/>
    <x v="5"/>
  </r>
  <r>
    <x v="532"/>
    <x v="162"/>
    <x v="10"/>
    <x v="7"/>
    <x v="10"/>
    <x v="3"/>
    <x v="14"/>
    <x v="5"/>
    <x v="8"/>
    <x v="1"/>
    <x v="1"/>
    <x v="1"/>
    <x v="2"/>
  </r>
  <r>
    <x v="533"/>
    <x v="80"/>
    <x v="9"/>
    <x v="6"/>
    <x v="9"/>
    <x v="2"/>
    <x v="55"/>
    <x v="3"/>
    <x v="1"/>
    <x v="2"/>
    <x v="1"/>
    <x v="4"/>
    <x v="0"/>
  </r>
  <r>
    <x v="534"/>
    <x v="62"/>
    <x v="10"/>
    <x v="7"/>
    <x v="10"/>
    <x v="0"/>
    <x v="33"/>
    <x v="14"/>
    <x v="7"/>
    <x v="3"/>
    <x v="0"/>
    <x v="4"/>
    <x v="3"/>
  </r>
  <r>
    <x v="535"/>
    <x v="131"/>
    <x v="7"/>
    <x v="2"/>
    <x v="7"/>
    <x v="1"/>
    <x v="62"/>
    <x v="3"/>
    <x v="11"/>
    <x v="1"/>
    <x v="2"/>
    <x v="0"/>
    <x v="3"/>
  </r>
  <r>
    <x v="536"/>
    <x v="62"/>
    <x v="13"/>
    <x v="2"/>
    <x v="12"/>
    <x v="0"/>
    <x v="65"/>
    <x v="7"/>
    <x v="0"/>
    <x v="1"/>
    <x v="0"/>
    <x v="4"/>
    <x v="3"/>
  </r>
  <r>
    <x v="537"/>
    <x v="31"/>
    <x v="4"/>
    <x v="3"/>
    <x v="4"/>
    <x v="0"/>
    <x v="31"/>
    <x v="5"/>
    <x v="9"/>
    <x v="4"/>
    <x v="1"/>
    <x v="1"/>
    <x v="4"/>
  </r>
  <r>
    <x v="538"/>
    <x v="105"/>
    <x v="11"/>
    <x v="6"/>
    <x v="11"/>
    <x v="0"/>
    <x v="16"/>
    <x v="10"/>
    <x v="2"/>
    <x v="2"/>
    <x v="0"/>
    <x v="5"/>
    <x v="0"/>
  </r>
  <r>
    <x v="539"/>
    <x v="90"/>
    <x v="11"/>
    <x v="6"/>
    <x v="11"/>
    <x v="3"/>
    <x v="28"/>
    <x v="13"/>
    <x v="6"/>
    <x v="1"/>
    <x v="2"/>
    <x v="3"/>
    <x v="5"/>
  </r>
  <r>
    <x v="540"/>
    <x v="89"/>
    <x v="8"/>
    <x v="3"/>
    <x v="8"/>
    <x v="0"/>
    <x v="11"/>
    <x v="2"/>
    <x v="5"/>
    <x v="4"/>
    <x v="0"/>
    <x v="5"/>
    <x v="2"/>
  </r>
  <r>
    <x v="541"/>
    <x v="53"/>
    <x v="4"/>
    <x v="3"/>
    <x v="4"/>
    <x v="2"/>
    <x v="37"/>
    <x v="14"/>
    <x v="5"/>
    <x v="4"/>
    <x v="0"/>
    <x v="3"/>
    <x v="3"/>
  </r>
  <r>
    <x v="542"/>
    <x v="115"/>
    <x v="9"/>
    <x v="6"/>
    <x v="9"/>
    <x v="3"/>
    <x v="12"/>
    <x v="11"/>
    <x v="11"/>
    <x v="3"/>
    <x v="2"/>
    <x v="2"/>
    <x v="3"/>
  </r>
  <r>
    <x v="543"/>
    <x v="108"/>
    <x v="12"/>
    <x v="2"/>
    <x v="2"/>
    <x v="1"/>
    <x v="2"/>
    <x v="9"/>
    <x v="4"/>
    <x v="4"/>
    <x v="0"/>
    <x v="3"/>
    <x v="1"/>
  </r>
  <r>
    <x v="544"/>
    <x v="60"/>
    <x v="2"/>
    <x v="2"/>
    <x v="2"/>
    <x v="0"/>
    <x v="5"/>
    <x v="11"/>
    <x v="3"/>
    <x v="2"/>
    <x v="0"/>
    <x v="0"/>
    <x v="1"/>
  </r>
  <r>
    <x v="545"/>
    <x v="2"/>
    <x v="7"/>
    <x v="2"/>
    <x v="7"/>
    <x v="1"/>
    <x v="62"/>
    <x v="0"/>
    <x v="11"/>
    <x v="4"/>
    <x v="0"/>
    <x v="1"/>
    <x v="2"/>
  </r>
  <r>
    <x v="546"/>
    <x v="52"/>
    <x v="12"/>
    <x v="2"/>
    <x v="2"/>
    <x v="0"/>
    <x v="5"/>
    <x v="7"/>
    <x v="3"/>
    <x v="4"/>
    <x v="2"/>
    <x v="4"/>
    <x v="2"/>
  </r>
  <r>
    <x v="547"/>
    <x v="32"/>
    <x v="1"/>
    <x v="1"/>
    <x v="1"/>
    <x v="0"/>
    <x v="1"/>
    <x v="13"/>
    <x v="6"/>
    <x v="2"/>
    <x v="1"/>
    <x v="2"/>
    <x v="1"/>
  </r>
  <r>
    <x v="548"/>
    <x v="68"/>
    <x v="6"/>
    <x v="5"/>
    <x v="6"/>
    <x v="2"/>
    <x v="51"/>
    <x v="2"/>
    <x v="2"/>
    <x v="0"/>
    <x v="0"/>
    <x v="4"/>
    <x v="4"/>
  </r>
  <r>
    <x v="549"/>
    <x v="142"/>
    <x v="11"/>
    <x v="6"/>
    <x v="11"/>
    <x v="1"/>
    <x v="20"/>
    <x v="9"/>
    <x v="6"/>
    <x v="1"/>
    <x v="0"/>
    <x v="4"/>
    <x v="5"/>
  </r>
  <r>
    <x v="550"/>
    <x v="20"/>
    <x v="14"/>
    <x v="2"/>
    <x v="13"/>
    <x v="3"/>
    <x v="42"/>
    <x v="8"/>
    <x v="5"/>
    <x v="4"/>
    <x v="2"/>
    <x v="4"/>
    <x v="1"/>
  </r>
  <r>
    <x v="551"/>
    <x v="83"/>
    <x v="1"/>
    <x v="1"/>
    <x v="1"/>
    <x v="1"/>
    <x v="4"/>
    <x v="8"/>
    <x v="8"/>
    <x v="4"/>
    <x v="0"/>
    <x v="1"/>
    <x v="3"/>
  </r>
  <r>
    <x v="552"/>
    <x v="1"/>
    <x v="13"/>
    <x v="2"/>
    <x v="12"/>
    <x v="3"/>
    <x v="23"/>
    <x v="1"/>
    <x v="9"/>
    <x v="0"/>
    <x v="1"/>
    <x v="1"/>
    <x v="1"/>
  </r>
  <r>
    <x v="553"/>
    <x v="8"/>
    <x v="4"/>
    <x v="3"/>
    <x v="4"/>
    <x v="4"/>
    <x v="61"/>
    <x v="3"/>
    <x v="7"/>
    <x v="1"/>
    <x v="2"/>
    <x v="2"/>
    <x v="5"/>
  </r>
  <r>
    <x v="554"/>
    <x v="167"/>
    <x v="11"/>
    <x v="6"/>
    <x v="11"/>
    <x v="1"/>
    <x v="20"/>
    <x v="7"/>
    <x v="10"/>
    <x v="1"/>
    <x v="0"/>
    <x v="5"/>
    <x v="4"/>
  </r>
  <r>
    <x v="555"/>
    <x v="125"/>
    <x v="9"/>
    <x v="6"/>
    <x v="9"/>
    <x v="1"/>
    <x v="17"/>
    <x v="3"/>
    <x v="5"/>
    <x v="4"/>
    <x v="2"/>
    <x v="1"/>
    <x v="1"/>
  </r>
  <r>
    <x v="556"/>
    <x v="168"/>
    <x v="1"/>
    <x v="1"/>
    <x v="1"/>
    <x v="0"/>
    <x v="1"/>
    <x v="5"/>
    <x v="6"/>
    <x v="2"/>
    <x v="0"/>
    <x v="0"/>
    <x v="1"/>
  </r>
  <r>
    <x v="557"/>
    <x v="119"/>
    <x v="1"/>
    <x v="1"/>
    <x v="1"/>
    <x v="3"/>
    <x v="46"/>
    <x v="2"/>
    <x v="5"/>
    <x v="2"/>
    <x v="0"/>
    <x v="0"/>
    <x v="0"/>
  </r>
  <r>
    <x v="558"/>
    <x v="145"/>
    <x v="1"/>
    <x v="1"/>
    <x v="1"/>
    <x v="2"/>
    <x v="52"/>
    <x v="6"/>
    <x v="7"/>
    <x v="1"/>
    <x v="0"/>
    <x v="5"/>
    <x v="5"/>
  </r>
  <r>
    <x v="559"/>
    <x v="124"/>
    <x v="6"/>
    <x v="5"/>
    <x v="6"/>
    <x v="0"/>
    <x v="9"/>
    <x v="1"/>
    <x v="5"/>
    <x v="4"/>
    <x v="0"/>
    <x v="4"/>
    <x v="1"/>
  </r>
  <r>
    <x v="560"/>
    <x v="40"/>
    <x v="11"/>
    <x v="6"/>
    <x v="11"/>
    <x v="0"/>
    <x v="16"/>
    <x v="1"/>
    <x v="1"/>
    <x v="0"/>
    <x v="0"/>
    <x v="5"/>
    <x v="5"/>
  </r>
  <r>
    <x v="561"/>
    <x v="147"/>
    <x v="2"/>
    <x v="2"/>
    <x v="2"/>
    <x v="2"/>
    <x v="8"/>
    <x v="6"/>
    <x v="5"/>
    <x v="2"/>
    <x v="2"/>
    <x v="4"/>
    <x v="4"/>
  </r>
  <r>
    <x v="562"/>
    <x v="110"/>
    <x v="6"/>
    <x v="5"/>
    <x v="6"/>
    <x v="1"/>
    <x v="34"/>
    <x v="13"/>
    <x v="10"/>
    <x v="1"/>
    <x v="0"/>
    <x v="3"/>
    <x v="4"/>
  </r>
  <r>
    <x v="563"/>
    <x v="13"/>
    <x v="8"/>
    <x v="3"/>
    <x v="8"/>
    <x v="3"/>
    <x v="60"/>
    <x v="11"/>
    <x v="8"/>
    <x v="0"/>
    <x v="2"/>
    <x v="1"/>
    <x v="0"/>
  </r>
  <r>
    <x v="564"/>
    <x v="91"/>
    <x v="8"/>
    <x v="3"/>
    <x v="8"/>
    <x v="4"/>
    <x v="50"/>
    <x v="1"/>
    <x v="8"/>
    <x v="4"/>
    <x v="0"/>
    <x v="0"/>
    <x v="2"/>
  </r>
  <r>
    <x v="565"/>
    <x v="145"/>
    <x v="1"/>
    <x v="1"/>
    <x v="1"/>
    <x v="0"/>
    <x v="1"/>
    <x v="2"/>
    <x v="5"/>
    <x v="2"/>
    <x v="2"/>
    <x v="5"/>
    <x v="5"/>
  </r>
  <r>
    <x v="566"/>
    <x v="58"/>
    <x v="6"/>
    <x v="5"/>
    <x v="6"/>
    <x v="4"/>
    <x v="43"/>
    <x v="2"/>
    <x v="3"/>
    <x v="1"/>
    <x v="2"/>
    <x v="3"/>
    <x v="1"/>
  </r>
  <r>
    <x v="567"/>
    <x v="137"/>
    <x v="3"/>
    <x v="2"/>
    <x v="3"/>
    <x v="4"/>
    <x v="63"/>
    <x v="0"/>
    <x v="8"/>
    <x v="0"/>
    <x v="0"/>
    <x v="4"/>
    <x v="2"/>
  </r>
  <r>
    <x v="568"/>
    <x v="113"/>
    <x v="13"/>
    <x v="2"/>
    <x v="12"/>
    <x v="4"/>
    <x v="26"/>
    <x v="14"/>
    <x v="2"/>
    <x v="4"/>
    <x v="0"/>
    <x v="5"/>
    <x v="6"/>
  </r>
  <r>
    <x v="569"/>
    <x v="158"/>
    <x v="0"/>
    <x v="0"/>
    <x v="0"/>
    <x v="3"/>
    <x v="36"/>
    <x v="10"/>
    <x v="2"/>
    <x v="0"/>
    <x v="1"/>
    <x v="1"/>
    <x v="0"/>
  </r>
  <r>
    <x v="570"/>
    <x v="4"/>
    <x v="0"/>
    <x v="0"/>
    <x v="0"/>
    <x v="3"/>
    <x v="36"/>
    <x v="13"/>
    <x v="7"/>
    <x v="4"/>
    <x v="1"/>
    <x v="2"/>
    <x v="1"/>
  </r>
  <r>
    <x v="571"/>
    <x v="107"/>
    <x v="14"/>
    <x v="2"/>
    <x v="13"/>
    <x v="0"/>
    <x v="64"/>
    <x v="10"/>
    <x v="7"/>
    <x v="0"/>
    <x v="0"/>
    <x v="3"/>
    <x v="2"/>
  </r>
  <r>
    <x v="572"/>
    <x v="4"/>
    <x v="11"/>
    <x v="6"/>
    <x v="11"/>
    <x v="3"/>
    <x v="28"/>
    <x v="14"/>
    <x v="9"/>
    <x v="0"/>
    <x v="0"/>
    <x v="2"/>
    <x v="1"/>
  </r>
  <r>
    <x v="573"/>
    <x v="81"/>
    <x v="4"/>
    <x v="3"/>
    <x v="4"/>
    <x v="2"/>
    <x v="37"/>
    <x v="0"/>
    <x v="4"/>
    <x v="0"/>
    <x v="0"/>
    <x v="2"/>
    <x v="0"/>
  </r>
  <r>
    <x v="574"/>
    <x v="12"/>
    <x v="7"/>
    <x v="2"/>
    <x v="7"/>
    <x v="0"/>
    <x v="10"/>
    <x v="12"/>
    <x v="8"/>
    <x v="4"/>
    <x v="0"/>
    <x v="5"/>
    <x v="0"/>
  </r>
  <r>
    <x v="575"/>
    <x v="136"/>
    <x v="11"/>
    <x v="6"/>
    <x v="11"/>
    <x v="3"/>
    <x v="28"/>
    <x v="13"/>
    <x v="6"/>
    <x v="4"/>
    <x v="2"/>
    <x v="3"/>
    <x v="1"/>
  </r>
  <r>
    <x v="576"/>
    <x v="162"/>
    <x v="4"/>
    <x v="3"/>
    <x v="4"/>
    <x v="2"/>
    <x v="37"/>
    <x v="9"/>
    <x v="11"/>
    <x v="3"/>
    <x v="0"/>
    <x v="1"/>
    <x v="2"/>
  </r>
  <r>
    <x v="577"/>
    <x v="167"/>
    <x v="9"/>
    <x v="6"/>
    <x v="9"/>
    <x v="0"/>
    <x v="19"/>
    <x v="1"/>
    <x v="5"/>
    <x v="4"/>
    <x v="0"/>
    <x v="5"/>
    <x v="4"/>
  </r>
  <r>
    <x v="578"/>
    <x v="169"/>
    <x v="5"/>
    <x v="4"/>
    <x v="5"/>
    <x v="1"/>
    <x v="27"/>
    <x v="11"/>
    <x v="6"/>
    <x v="3"/>
    <x v="2"/>
    <x v="0"/>
    <x v="1"/>
  </r>
  <r>
    <x v="579"/>
    <x v="58"/>
    <x v="14"/>
    <x v="2"/>
    <x v="13"/>
    <x v="2"/>
    <x v="32"/>
    <x v="5"/>
    <x v="4"/>
    <x v="2"/>
    <x v="0"/>
    <x v="3"/>
    <x v="1"/>
  </r>
  <r>
    <x v="580"/>
    <x v="109"/>
    <x v="3"/>
    <x v="2"/>
    <x v="3"/>
    <x v="0"/>
    <x v="18"/>
    <x v="0"/>
    <x v="6"/>
    <x v="2"/>
    <x v="0"/>
    <x v="5"/>
    <x v="1"/>
  </r>
  <r>
    <x v="581"/>
    <x v="155"/>
    <x v="6"/>
    <x v="5"/>
    <x v="6"/>
    <x v="1"/>
    <x v="34"/>
    <x v="2"/>
    <x v="7"/>
    <x v="3"/>
    <x v="0"/>
    <x v="3"/>
    <x v="5"/>
  </r>
  <r>
    <x v="582"/>
    <x v="160"/>
    <x v="8"/>
    <x v="3"/>
    <x v="8"/>
    <x v="1"/>
    <x v="69"/>
    <x v="6"/>
    <x v="1"/>
    <x v="3"/>
    <x v="0"/>
    <x v="5"/>
    <x v="6"/>
  </r>
  <r>
    <x v="583"/>
    <x v="105"/>
    <x v="0"/>
    <x v="0"/>
    <x v="0"/>
    <x v="4"/>
    <x v="45"/>
    <x v="6"/>
    <x v="3"/>
    <x v="1"/>
    <x v="0"/>
    <x v="5"/>
    <x v="0"/>
  </r>
  <r>
    <x v="584"/>
    <x v="83"/>
    <x v="8"/>
    <x v="3"/>
    <x v="8"/>
    <x v="2"/>
    <x v="40"/>
    <x v="6"/>
    <x v="10"/>
    <x v="4"/>
    <x v="0"/>
    <x v="1"/>
    <x v="3"/>
  </r>
  <r>
    <x v="585"/>
    <x v="101"/>
    <x v="8"/>
    <x v="3"/>
    <x v="8"/>
    <x v="0"/>
    <x v="11"/>
    <x v="0"/>
    <x v="10"/>
    <x v="4"/>
    <x v="0"/>
    <x v="3"/>
    <x v="2"/>
  </r>
  <r>
    <x v="586"/>
    <x v="119"/>
    <x v="0"/>
    <x v="0"/>
    <x v="0"/>
    <x v="0"/>
    <x v="0"/>
    <x v="12"/>
    <x v="1"/>
    <x v="1"/>
    <x v="0"/>
    <x v="0"/>
    <x v="0"/>
  </r>
  <r>
    <x v="587"/>
    <x v="2"/>
    <x v="9"/>
    <x v="6"/>
    <x v="9"/>
    <x v="4"/>
    <x v="57"/>
    <x v="1"/>
    <x v="10"/>
    <x v="3"/>
    <x v="0"/>
    <x v="1"/>
    <x v="2"/>
  </r>
  <r>
    <x v="588"/>
    <x v="15"/>
    <x v="12"/>
    <x v="2"/>
    <x v="2"/>
    <x v="1"/>
    <x v="2"/>
    <x v="14"/>
    <x v="2"/>
    <x v="2"/>
    <x v="0"/>
    <x v="2"/>
    <x v="2"/>
  </r>
  <r>
    <x v="589"/>
    <x v="109"/>
    <x v="14"/>
    <x v="2"/>
    <x v="13"/>
    <x v="4"/>
    <x v="35"/>
    <x v="1"/>
    <x v="10"/>
    <x v="0"/>
    <x v="0"/>
    <x v="5"/>
    <x v="1"/>
  </r>
  <r>
    <x v="590"/>
    <x v="80"/>
    <x v="6"/>
    <x v="5"/>
    <x v="6"/>
    <x v="4"/>
    <x v="43"/>
    <x v="6"/>
    <x v="9"/>
    <x v="2"/>
    <x v="0"/>
    <x v="4"/>
    <x v="0"/>
  </r>
  <r>
    <x v="591"/>
    <x v="123"/>
    <x v="3"/>
    <x v="2"/>
    <x v="3"/>
    <x v="0"/>
    <x v="18"/>
    <x v="12"/>
    <x v="1"/>
    <x v="1"/>
    <x v="0"/>
    <x v="0"/>
    <x v="5"/>
  </r>
  <r>
    <x v="592"/>
    <x v="8"/>
    <x v="14"/>
    <x v="2"/>
    <x v="13"/>
    <x v="3"/>
    <x v="42"/>
    <x v="2"/>
    <x v="0"/>
    <x v="1"/>
    <x v="0"/>
    <x v="2"/>
    <x v="5"/>
  </r>
  <r>
    <x v="593"/>
    <x v="71"/>
    <x v="14"/>
    <x v="2"/>
    <x v="13"/>
    <x v="2"/>
    <x v="32"/>
    <x v="5"/>
    <x v="7"/>
    <x v="1"/>
    <x v="2"/>
    <x v="4"/>
    <x v="5"/>
  </r>
  <r>
    <x v="594"/>
    <x v="125"/>
    <x v="0"/>
    <x v="0"/>
    <x v="0"/>
    <x v="4"/>
    <x v="45"/>
    <x v="10"/>
    <x v="2"/>
    <x v="3"/>
    <x v="0"/>
    <x v="1"/>
    <x v="1"/>
  </r>
  <r>
    <x v="595"/>
    <x v="108"/>
    <x v="7"/>
    <x v="2"/>
    <x v="7"/>
    <x v="3"/>
    <x v="44"/>
    <x v="10"/>
    <x v="0"/>
    <x v="4"/>
    <x v="0"/>
    <x v="3"/>
    <x v="1"/>
  </r>
  <r>
    <x v="596"/>
    <x v="52"/>
    <x v="13"/>
    <x v="2"/>
    <x v="12"/>
    <x v="1"/>
    <x v="24"/>
    <x v="1"/>
    <x v="2"/>
    <x v="4"/>
    <x v="0"/>
    <x v="4"/>
    <x v="2"/>
  </r>
  <r>
    <x v="597"/>
    <x v="2"/>
    <x v="5"/>
    <x v="4"/>
    <x v="5"/>
    <x v="2"/>
    <x v="53"/>
    <x v="3"/>
    <x v="4"/>
    <x v="3"/>
    <x v="2"/>
    <x v="1"/>
    <x v="2"/>
  </r>
  <r>
    <x v="598"/>
    <x v="16"/>
    <x v="0"/>
    <x v="0"/>
    <x v="0"/>
    <x v="3"/>
    <x v="36"/>
    <x v="9"/>
    <x v="4"/>
    <x v="0"/>
    <x v="0"/>
    <x v="3"/>
    <x v="1"/>
  </r>
  <r>
    <x v="599"/>
    <x v="117"/>
    <x v="12"/>
    <x v="2"/>
    <x v="2"/>
    <x v="2"/>
    <x v="8"/>
    <x v="8"/>
    <x v="0"/>
    <x v="1"/>
    <x v="0"/>
    <x v="1"/>
    <x v="1"/>
  </r>
  <r>
    <x v="600"/>
    <x v="56"/>
    <x v="6"/>
    <x v="5"/>
    <x v="6"/>
    <x v="1"/>
    <x v="34"/>
    <x v="1"/>
    <x v="6"/>
    <x v="2"/>
    <x v="0"/>
    <x v="0"/>
    <x v="5"/>
  </r>
  <r>
    <x v="601"/>
    <x v="28"/>
    <x v="13"/>
    <x v="2"/>
    <x v="12"/>
    <x v="1"/>
    <x v="24"/>
    <x v="9"/>
    <x v="5"/>
    <x v="1"/>
    <x v="0"/>
    <x v="4"/>
    <x v="3"/>
  </r>
  <r>
    <x v="602"/>
    <x v="62"/>
    <x v="9"/>
    <x v="6"/>
    <x v="9"/>
    <x v="0"/>
    <x v="19"/>
    <x v="7"/>
    <x v="11"/>
    <x v="0"/>
    <x v="1"/>
    <x v="4"/>
    <x v="3"/>
  </r>
  <r>
    <x v="603"/>
    <x v="60"/>
    <x v="5"/>
    <x v="4"/>
    <x v="5"/>
    <x v="2"/>
    <x v="53"/>
    <x v="8"/>
    <x v="1"/>
    <x v="4"/>
    <x v="2"/>
    <x v="0"/>
    <x v="1"/>
  </r>
  <r>
    <x v="604"/>
    <x v="115"/>
    <x v="5"/>
    <x v="4"/>
    <x v="5"/>
    <x v="0"/>
    <x v="7"/>
    <x v="1"/>
    <x v="4"/>
    <x v="3"/>
    <x v="0"/>
    <x v="2"/>
    <x v="3"/>
  </r>
  <r>
    <x v="605"/>
    <x v="104"/>
    <x v="11"/>
    <x v="6"/>
    <x v="11"/>
    <x v="3"/>
    <x v="28"/>
    <x v="5"/>
    <x v="6"/>
    <x v="3"/>
    <x v="0"/>
    <x v="3"/>
    <x v="3"/>
  </r>
  <r>
    <x v="606"/>
    <x v="126"/>
    <x v="2"/>
    <x v="2"/>
    <x v="2"/>
    <x v="3"/>
    <x v="13"/>
    <x v="14"/>
    <x v="5"/>
    <x v="1"/>
    <x v="0"/>
    <x v="5"/>
    <x v="3"/>
  </r>
  <r>
    <x v="607"/>
    <x v="15"/>
    <x v="9"/>
    <x v="6"/>
    <x v="9"/>
    <x v="3"/>
    <x v="12"/>
    <x v="8"/>
    <x v="0"/>
    <x v="2"/>
    <x v="0"/>
    <x v="2"/>
    <x v="2"/>
  </r>
  <r>
    <x v="608"/>
    <x v="114"/>
    <x v="2"/>
    <x v="2"/>
    <x v="2"/>
    <x v="0"/>
    <x v="5"/>
    <x v="8"/>
    <x v="4"/>
    <x v="4"/>
    <x v="2"/>
    <x v="4"/>
    <x v="4"/>
  </r>
  <r>
    <x v="609"/>
    <x v="103"/>
    <x v="12"/>
    <x v="2"/>
    <x v="2"/>
    <x v="0"/>
    <x v="5"/>
    <x v="1"/>
    <x v="2"/>
    <x v="4"/>
    <x v="0"/>
    <x v="3"/>
    <x v="5"/>
  </r>
  <r>
    <x v="610"/>
    <x v="152"/>
    <x v="13"/>
    <x v="2"/>
    <x v="12"/>
    <x v="3"/>
    <x v="23"/>
    <x v="3"/>
    <x v="6"/>
    <x v="3"/>
    <x v="1"/>
    <x v="2"/>
    <x v="6"/>
  </r>
  <r>
    <x v="611"/>
    <x v="167"/>
    <x v="2"/>
    <x v="2"/>
    <x v="2"/>
    <x v="2"/>
    <x v="8"/>
    <x v="8"/>
    <x v="9"/>
    <x v="0"/>
    <x v="2"/>
    <x v="5"/>
    <x v="4"/>
  </r>
  <r>
    <x v="612"/>
    <x v="137"/>
    <x v="11"/>
    <x v="6"/>
    <x v="11"/>
    <x v="3"/>
    <x v="28"/>
    <x v="6"/>
    <x v="7"/>
    <x v="4"/>
    <x v="0"/>
    <x v="4"/>
    <x v="2"/>
  </r>
  <r>
    <x v="613"/>
    <x v="129"/>
    <x v="2"/>
    <x v="2"/>
    <x v="2"/>
    <x v="2"/>
    <x v="8"/>
    <x v="12"/>
    <x v="3"/>
    <x v="2"/>
    <x v="0"/>
    <x v="3"/>
    <x v="6"/>
  </r>
  <r>
    <x v="614"/>
    <x v="7"/>
    <x v="10"/>
    <x v="7"/>
    <x v="10"/>
    <x v="1"/>
    <x v="59"/>
    <x v="14"/>
    <x v="3"/>
    <x v="4"/>
    <x v="2"/>
    <x v="3"/>
    <x v="4"/>
  </r>
  <r>
    <x v="615"/>
    <x v="42"/>
    <x v="8"/>
    <x v="3"/>
    <x v="8"/>
    <x v="0"/>
    <x v="11"/>
    <x v="1"/>
    <x v="2"/>
    <x v="1"/>
    <x v="1"/>
    <x v="0"/>
    <x v="6"/>
  </r>
  <r>
    <x v="616"/>
    <x v="54"/>
    <x v="6"/>
    <x v="5"/>
    <x v="6"/>
    <x v="0"/>
    <x v="9"/>
    <x v="9"/>
    <x v="4"/>
    <x v="3"/>
    <x v="2"/>
    <x v="4"/>
    <x v="6"/>
  </r>
  <r>
    <x v="617"/>
    <x v="12"/>
    <x v="8"/>
    <x v="3"/>
    <x v="8"/>
    <x v="2"/>
    <x v="40"/>
    <x v="1"/>
    <x v="0"/>
    <x v="2"/>
    <x v="2"/>
    <x v="5"/>
    <x v="0"/>
  </r>
  <r>
    <x v="618"/>
    <x v="19"/>
    <x v="13"/>
    <x v="2"/>
    <x v="12"/>
    <x v="1"/>
    <x v="24"/>
    <x v="13"/>
    <x v="0"/>
    <x v="1"/>
    <x v="2"/>
    <x v="2"/>
    <x v="5"/>
  </r>
  <r>
    <x v="619"/>
    <x v="123"/>
    <x v="10"/>
    <x v="7"/>
    <x v="10"/>
    <x v="4"/>
    <x v="48"/>
    <x v="3"/>
    <x v="3"/>
    <x v="3"/>
    <x v="0"/>
    <x v="0"/>
    <x v="5"/>
  </r>
  <r>
    <x v="620"/>
    <x v="151"/>
    <x v="3"/>
    <x v="2"/>
    <x v="3"/>
    <x v="4"/>
    <x v="63"/>
    <x v="3"/>
    <x v="1"/>
    <x v="1"/>
    <x v="0"/>
    <x v="5"/>
    <x v="6"/>
  </r>
  <r>
    <x v="621"/>
    <x v="45"/>
    <x v="14"/>
    <x v="2"/>
    <x v="13"/>
    <x v="1"/>
    <x v="66"/>
    <x v="14"/>
    <x v="11"/>
    <x v="2"/>
    <x v="0"/>
    <x v="0"/>
    <x v="1"/>
  </r>
  <r>
    <x v="622"/>
    <x v="154"/>
    <x v="2"/>
    <x v="2"/>
    <x v="2"/>
    <x v="4"/>
    <x v="38"/>
    <x v="14"/>
    <x v="7"/>
    <x v="4"/>
    <x v="0"/>
    <x v="1"/>
    <x v="4"/>
  </r>
  <r>
    <x v="623"/>
    <x v="99"/>
    <x v="10"/>
    <x v="7"/>
    <x v="10"/>
    <x v="3"/>
    <x v="14"/>
    <x v="1"/>
    <x v="3"/>
    <x v="3"/>
    <x v="1"/>
    <x v="5"/>
    <x v="1"/>
  </r>
  <r>
    <x v="624"/>
    <x v="45"/>
    <x v="4"/>
    <x v="3"/>
    <x v="4"/>
    <x v="1"/>
    <x v="6"/>
    <x v="13"/>
    <x v="3"/>
    <x v="2"/>
    <x v="0"/>
    <x v="0"/>
    <x v="1"/>
  </r>
  <r>
    <x v="625"/>
    <x v="116"/>
    <x v="8"/>
    <x v="3"/>
    <x v="8"/>
    <x v="2"/>
    <x v="40"/>
    <x v="5"/>
    <x v="9"/>
    <x v="2"/>
    <x v="0"/>
    <x v="4"/>
    <x v="0"/>
  </r>
  <r>
    <x v="626"/>
    <x v="96"/>
    <x v="8"/>
    <x v="3"/>
    <x v="8"/>
    <x v="1"/>
    <x v="69"/>
    <x v="3"/>
    <x v="5"/>
    <x v="1"/>
    <x v="0"/>
    <x v="4"/>
    <x v="1"/>
  </r>
  <r>
    <x v="627"/>
    <x v="75"/>
    <x v="5"/>
    <x v="4"/>
    <x v="5"/>
    <x v="1"/>
    <x v="27"/>
    <x v="9"/>
    <x v="10"/>
    <x v="2"/>
    <x v="2"/>
    <x v="4"/>
    <x v="0"/>
  </r>
  <r>
    <x v="628"/>
    <x v="47"/>
    <x v="8"/>
    <x v="3"/>
    <x v="8"/>
    <x v="2"/>
    <x v="40"/>
    <x v="7"/>
    <x v="6"/>
    <x v="1"/>
    <x v="0"/>
    <x v="2"/>
    <x v="0"/>
  </r>
  <r>
    <x v="629"/>
    <x v="13"/>
    <x v="8"/>
    <x v="3"/>
    <x v="8"/>
    <x v="3"/>
    <x v="60"/>
    <x v="13"/>
    <x v="3"/>
    <x v="2"/>
    <x v="0"/>
    <x v="1"/>
    <x v="0"/>
  </r>
  <r>
    <x v="630"/>
    <x v="127"/>
    <x v="14"/>
    <x v="2"/>
    <x v="13"/>
    <x v="1"/>
    <x v="66"/>
    <x v="9"/>
    <x v="0"/>
    <x v="1"/>
    <x v="0"/>
    <x v="2"/>
    <x v="4"/>
  </r>
  <r>
    <x v="631"/>
    <x v="33"/>
    <x v="4"/>
    <x v="3"/>
    <x v="4"/>
    <x v="4"/>
    <x v="61"/>
    <x v="5"/>
    <x v="4"/>
    <x v="1"/>
    <x v="1"/>
    <x v="1"/>
    <x v="6"/>
  </r>
  <r>
    <x v="632"/>
    <x v="139"/>
    <x v="9"/>
    <x v="6"/>
    <x v="9"/>
    <x v="2"/>
    <x v="55"/>
    <x v="5"/>
    <x v="3"/>
    <x v="4"/>
    <x v="0"/>
    <x v="0"/>
    <x v="6"/>
  </r>
  <r>
    <x v="633"/>
    <x v="36"/>
    <x v="4"/>
    <x v="3"/>
    <x v="4"/>
    <x v="3"/>
    <x v="49"/>
    <x v="12"/>
    <x v="2"/>
    <x v="0"/>
    <x v="2"/>
    <x v="3"/>
    <x v="3"/>
  </r>
  <r>
    <x v="634"/>
    <x v="108"/>
    <x v="3"/>
    <x v="2"/>
    <x v="3"/>
    <x v="2"/>
    <x v="3"/>
    <x v="11"/>
    <x v="1"/>
    <x v="2"/>
    <x v="2"/>
    <x v="3"/>
    <x v="1"/>
  </r>
  <r>
    <x v="635"/>
    <x v="56"/>
    <x v="4"/>
    <x v="3"/>
    <x v="4"/>
    <x v="3"/>
    <x v="49"/>
    <x v="5"/>
    <x v="0"/>
    <x v="1"/>
    <x v="0"/>
    <x v="0"/>
    <x v="5"/>
  </r>
  <r>
    <x v="636"/>
    <x v="135"/>
    <x v="13"/>
    <x v="2"/>
    <x v="12"/>
    <x v="4"/>
    <x v="26"/>
    <x v="11"/>
    <x v="8"/>
    <x v="4"/>
    <x v="0"/>
    <x v="3"/>
    <x v="3"/>
  </r>
  <r>
    <x v="637"/>
    <x v="168"/>
    <x v="9"/>
    <x v="6"/>
    <x v="9"/>
    <x v="4"/>
    <x v="57"/>
    <x v="9"/>
    <x v="1"/>
    <x v="2"/>
    <x v="0"/>
    <x v="0"/>
    <x v="1"/>
  </r>
  <r>
    <x v="638"/>
    <x v="32"/>
    <x v="12"/>
    <x v="2"/>
    <x v="2"/>
    <x v="1"/>
    <x v="2"/>
    <x v="8"/>
    <x v="3"/>
    <x v="3"/>
    <x v="0"/>
    <x v="2"/>
    <x v="1"/>
  </r>
  <r>
    <x v="639"/>
    <x v="2"/>
    <x v="9"/>
    <x v="6"/>
    <x v="9"/>
    <x v="0"/>
    <x v="19"/>
    <x v="0"/>
    <x v="9"/>
    <x v="4"/>
    <x v="1"/>
    <x v="1"/>
    <x v="2"/>
  </r>
  <r>
    <x v="640"/>
    <x v="99"/>
    <x v="9"/>
    <x v="6"/>
    <x v="9"/>
    <x v="2"/>
    <x v="55"/>
    <x v="6"/>
    <x v="7"/>
    <x v="4"/>
    <x v="0"/>
    <x v="5"/>
    <x v="1"/>
  </r>
  <r>
    <x v="641"/>
    <x v="137"/>
    <x v="0"/>
    <x v="0"/>
    <x v="0"/>
    <x v="4"/>
    <x v="45"/>
    <x v="0"/>
    <x v="3"/>
    <x v="1"/>
    <x v="0"/>
    <x v="4"/>
    <x v="2"/>
  </r>
  <r>
    <x v="642"/>
    <x v="39"/>
    <x v="4"/>
    <x v="3"/>
    <x v="4"/>
    <x v="1"/>
    <x v="6"/>
    <x v="2"/>
    <x v="2"/>
    <x v="4"/>
    <x v="0"/>
    <x v="3"/>
    <x v="0"/>
  </r>
  <r>
    <x v="643"/>
    <x v="166"/>
    <x v="12"/>
    <x v="2"/>
    <x v="2"/>
    <x v="0"/>
    <x v="5"/>
    <x v="5"/>
    <x v="0"/>
    <x v="3"/>
    <x v="0"/>
    <x v="2"/>
    <x v="1"/>
  </r>
  <r>
    <x v="644"/>
    <x v="32"/>
    <x v="2"/>
    <x v="2"/>
    <x v="2"/>
    <x v="0"/>
    <x v="5"/>
    <x v="1"/>
    <x v="5"/>
    <x v="3"/>
    <x v="0"/>
    <x v="2"/>
    <x v="1"/>
  </r>
  <r>
    <x v="645"/>
    <x v="171"/>
    <x v="3"/>
    <x v="2"/>
    <x v="3"/>
    <x v="0"/>
    <x v="18"/>
    <x v="9"/>
    <x v="3"/>
    <x v="4"/>
    <x v="0"/>
    <x v="0"/>
    <x v="4"/>
  </r>
  <r>
    <x v="646"/>
    <x v="167"/>
    <x v="0"/>
    <x v="0"/>
    <x v="0"/>
    <x v="1"/>
    <x v="56"/>
    <x v="9"/>
    <x v="4"/>
    <x v="3"/>
    <x v="2"/>
    <x v="5"/>
    <x v="4"/>
  </r>
  <r>
    <x v="647"/>
    <x v="29"/>
    <x v="1"/>
    <x v="1"/>
    <x v="1"/>
    <x v="2"/>
    <x v="52"/>
    <x v="7"/>
    <x v="3"/>
    <x v="0"/>
    <x v="1"/>
    <x v="1"/>
    <x v="6"/>
  </r>
  <r>
    <x v="648"/>
    <x v="84"/>
    <x v="8"/>
    <x v="3"/>
    <x v="8"/>
    <x v="1"/>
    <x v="69"/>
    <x v="11"/>
    <x v="2"/>
    <x v="1"/>
    <x v="0"/>
    <x v="0"/>
    <x v="5"/>
  </r>
  <r>
    <x v="649"/>
    <x v="50"/>
    <x v="13"/>
    <x v="2"/>
    <x v="12"/>
    <x v="1"/>
    <x v="24"/>
    <x v="12"/>
    <x v="9"/>
    <x v="4"/>
    <x v="2"/>
    <x v="4"/>
    <x v="0"/>
  </r>
  <r>
    <x v="650"/>
    <x v="98"/>
    <x v="4"/>
    <x v="3"/>
    <x v="4"/>
    <x v="3"/>
    <x v="49"/>
    <x v="9"/>
    <x v="4"/>
    <x v="2"/>
    <x v="0"/>
    <x v="5"/>
    <x v="5"/>
  </r>
  <r>
    <x v="651"/>
    <x v="87"/>
    <x v="9"/>
    <x v="6"/>
    <x v="9"/>
    <x v="0"/>
    <x v="19"/>
    <x v="10"/>
    <x v="6"/>
    <x v="4"/>
    <x v="1"/>
    <x v="5"/>
    <x v="4"/>
  </r>
  <r>
    <x v="652"/>
    <x v="50"/>
    <x v="7"/>
    <x v="2"/>
    <x v="7"/>
    <x v="0"/>
    <x v="10"/>
    <x v="8"/>
    <x v="2"/>
    <x v="0"/>
    <x v="2"/>
    <x v="4"/>
    <x v="0"/>
  </r>
  <r>
    <x v="653"/>
    <x v="67"/>
    <x v="2"/>
    <x v="2"/>
    <x v="2"/>
    <x v="2"/>
    <x v="8"/>
    <x v="3"/>
    <x v="4"/>
    <x v="1"/>
    <x v="0"/>
    <x v="1"/>
    <x v="5"/>
  </r>
  <r>
    <x v="654"/>
    <x v="66"/>
    <x v="3"/>
    <x v="2"/>
    <x v="3"/>
    <x v="2"/>
    <x v="3"/>
    <x v="10"/>
    <x v="5"/>
    <x v="0"/>
    <x v="2"/>
    <x v="4"/>
    <x v="2"/>
  </r>
  <r>
    <x v="655"/>
    <x v="122"/>
    <x v="8"/>
    <x v="3"/>
    <x v="8"/>
    <x v="3"/>
    <x v="60"/>
    <x v="1"/>
    <x v="7"/>
    <x v="2"/>
    <x v="0"/>
    <x v="3"/>
    <x v="2"/>
  </r>
  <r>
    <x v="656"/>
    <x v="118"/>
    <x v="7"/>
    <x v="2"/>
    <x v="7"/>
    <x v="2"/>
    <x v="54"/>
    <x v="1"/>
    <x v="4"/>
    <x v="1"/>
    <x v="0"/>
    <x v="1"/>
    <x v="1"/>
  </r>
  <r>
    <x v="657"/>
    <x v="10"/>
    <x v="7"/>
    <x v="2"/>
    <x v="7"/>
    <x v="0"/>
    <x v="10"/>
    <x v="7"/>
    <x v="11"/>
    <x v="0"/>
    <x v="2"/>
    <x v="4"/>
    <x v="0"/>
  </r>
  <r>
    <x v="658"/>
    <x v="5"/>
    <x v="13"/>
    <x v="2"/>
    <x v="12"/>
    <x v="3"/>
    <x v="23"/>
    <x v="13"/>
    <x v="1"/>
    <x v="0"/>
    <x v="0"/>
    <x v="2"/>
    <x v="3"/>
  </r>
  <r>
    <x v="659"/>
    <x v="64"/>
    <x v="3"/>
    <x v="2"/>
    <x v="3"/>
    <x v="1"/>
    <x v="47"/>
    <x v="5"/>
    <x v="8"/>
    <x v="0"/>
    <x v="0"/>
    <x v="0"/>
    <x v="3"/>
  </r>
  <r>
    <x v="660"/>
    <x v="141"/>
    <x v="12"/>
    <x v="2"/>
    <x v="2"/>
    <x v="3"/>
    <x v="13"/>
    <x v="14"/>
    <x v="6"/>
    <x v="1"/>
    <x v="2"/>
    <x v="0"/>
    <x v="0"/>
  </r>
  <r>
    <x v="661"/>
    <x v="108"/>
    <x v="2"/>
    <x v="2"/>
    <x v="2"/>
    <x v="4"/>
    <x v="38"/>
    <x v="3"/>
    <x v="1"/>
    <x v="2"/>
    <x v="2"/>
    <x v="3"/>
    <x v="1"/>
  </r>
  <r>
    <x v="662"/>
    <x v="97"/>
    <x v="11"/>
    <x v="6"/>
    <x v="11"/>
    <x v="2"/>
    <x v="68"/>
    <x v="11"/>
    <x v="0"/>
    <x v="0"/>
    <x v="2"/>
    <x v="1"/>
    <x v="6"/>
  </r>
  <r>
    <x v="663"/>
    <x v="33"/>
    <x v="8"/>
    <x v="3"/>
    <x v="8"/>
    <x v="2"/>
    <x v="40"/>
    <x v="11"/>
    <x v="8"/>
    <x v="1"/>
    <x v="0"/>
    <x v="1"/>
    <x v="6"/>
  </r>
  <r>
    <x v="664"/>
    <x v="56"/>
    <x v="1"/>
    <x v="1"/>
    <x v="1"/>
    <x v="2"/>
    <x v="52"/>
    <x v="14"/>
    <x v="3"/>
    <x v="4"/>
    <x v="0"/>
    <x v="0"/>
    <x v="5"/>
  </r>
  <r>
    <x v="665"/>
    <x v="4"/>
    <x v="11"/>
    <x v="6"/>
    <x v="11"/>
    <x v="1"/>
    <x v="20"/>
    <x v="9"/>
    <x v="4"/>
    <x v="3"/>
    <x v="0"/>
    <x v="2"/>
    <x v="1"/>
  </r>
  <r>
    <x v="666"/>
    <x v="147"/>
    <x v="14"/>
    <x v="2"/>
    <x v="13"/>
    <x v="0"/>
    <x v="64"/>
    <x v="13"/>
    <x v="0"/>
    <x v="3"/>
    <x v="0"/>
    <x v="4"/>
    <x v="4"/>
  </r>
  <r>
    <x v="667"/>
    <x v="79"/>
    <x v="13"/>
    <x v="2"/>
    <x v="12"/>
    <x v="2"/>
    <x v="25"/>
    <x v="7"/>
    <x v="3"/>
    <x v="2"/>
    <x v="0"/>
    <x v="4"/>
    <x v="6"/>
  </r>
  <r>
    <x v="668"/>
    <x v="84"/>
    <x v="3"/>
    <x v="2"/>
    <x v="3"/>
    <x v="3"/>
    <x v="41"/>
    <x v="10"/>
    <x v="3"/>
    <x v="3"/>
    <x v="1"/>
    <x v="0"/>
    <x v="5"/>
  </r>
  <r>
    <x v="669"/>
    <x v="170"/>
    <x v="6"/>
    <x v="5"/>
    <x v="6"/>
    <x v="1"/>
    <x v="34"/>
    <x v="0"/>
    <x v="10"/>
    <x v="1"/>
    <x v="0"/>
    <x v="2"/>
    <x v="6"/>
  </r>
  <r>
    <x v="670"/>
    <x v="76"/>
    <x v="12"/>
    <x v="2"/>
    <x v="2"/>
    <x v="0"/>
    <x v="5"/>
    <x v="8"/>
    <x v="9"/>
    <x v="3"/>
    <x v="0"/>
    <x v="3"/>
    <x v="5"/>
  </r>
  <r>
    <x v="671"/>
    <x v="0"/>
    <x v="0"/>
    <x v="0"/>
    <x v="0"/>
    <x v="1"/>
    <x v="56"/>
    <x v="14"/>
    <x v="6"/>
    <x v="2"/>
    <x v="0"/>
    <x v="0"/>
    <x v="0"/>
  </r>
  <r>
    <x v="672"/>
    <x v="108"/>
    <x v="10"/>
    <x v="7"/>
    <x v="10"/>
    <x v="0"/>
    <x v="33"/>
    <x v="8"/>
    <x v="2"/>
    <x v="3"/>
    <x v="0"/>
    <x v="3"/>
    <x v="1"/>
  </r>
  <r>
    <x v="673"/>
    <x v="10"/>
    <x v="12"/>
    <x v="2"/>
    <x v="2"/>
    <x v="4"/>
    <x v="38"/>
    <x v="11"/>
    <x v="10"/>
    <x v="2"/>
    <x v="1"/>
    <x v="4"/>
    <x v="0"/>
  </r>
  <r>
    <x v="674"/>
    <x v="86"/>
    <x v="3"/>
    <x v="2"/>
    <x v="3"/>
    <x v="1"/>
    <x v="47"/>
    <x v="4"/>
    <x v="0"/>
    <x v="0"/>
    <x v="0"/>
    <x v="4"/>
    <x v="2"/>
  </r>
  <r>
    <x v="675"/>
    <x v="88"/>
    <x v="9"/>
    <x v="6"/>
    <x v="9"/>
    <x v="3"/>
    <x v="12"/>
    <x v="13"/>
    <x v="11"/>
    <x v="1"/>
    <x v="0"/>
    <x v="2"/>
    <x v="5"/>
  </r>
  <r>
    <x v="676"/>
    <x v="54"/>
    <x v="13"/>
    <x v="2"/>
    <x v="12"/>
    <x v="2"/>
    <x v="25"/>
    <x v="11"/>
    <x v="5"/>
    <x v="4"/>
    <x v="0"/>
    <x v="4"/>
    <x v="6"/>
  </r>
  <r>
    <x v="677"/>
    <x v="127"/>
    <x v="10"/>
    <x v="7"/>
    <x v="10"/>
    <x v="4"/>
    <x v="48"/>
    <x v="3"/>
    <x v="0"/>
    <x v="4"/>
    <x v="0"/>
    <x v="2"/>
    <x v="4"/>
  </r>
  <r>
    <x v="678"/>
    <x v="66"/>
    <x v="8"/>
    <x v="3"/>
    <x v="8"/>
    <x v="0"/>
    <x v="11"/>
    <x v="3"/>
    <x v="11"/>
    <x v="0"/>
    <x v="0"/>
    <x v="4"/>
    <x v="2"/>
  </r>
  <r>
    <x v="679"/>
    <x v="5"/>
    <x v="7"/>
    <x v="2"/>
    <x v="7"/>
    <x v="4"/>
    <x v="30"/>
    <x v="5"/>
    <x v="7"/>
    <x v="1"/>
    <x v="0"/>
    <x v="2"/>
    <x v="3"/>
  </r>
  <r>
    <x v="680"/>
    <x v="145"/>
    <x v="6"/>
    <x v="5"/>
    <x v="6"/>
    <x v="0"/>
    <x v="9"/>
    <x v="9"/>
    <x v="8"/>
    <x v="1"/>
    <x v="0"/>
    <x v="5"/>
    <x v="5"/>
  </r>
  <r>
    <x v="681"/>
    <x v="66"/>
    <x v="8"/>
    <x v="3"/>
    <x v="8"/>
    <x v="2"/>
    <x v="40"/>
    <x v="8"/>
    <x v="8"/>
    <x v="2"/>
    <x v="2"/>
    <x v="4"/>
    <x v="2"/>
  </r>
  <r>
    <x v="682"/>
    <x v="131"/>
    <x v="5"/>
    <x v="4"/>
    <x v="5"/>
    <x v="3"/>
    <x v="67"/>
    <x v="7"/>
    <x v="8"/>
    <x v="0"/>
    <x v="0"/>
    <x v="0"/>
    <x v="3"/>
  </r>
  <r>
    <x v="683"/>
    <x v="172"/>
    <x v="5"/>
    <x v="4"/>
    <x v="5"/>
    <x v="2"/>
    <x v="53"/>
    <x v="9"/>
    <x v="2"/>
    <x v="1"/>
    <x v="1"/>
    <x v="1"/>
    <x v="5"/>
  </r>
  <r>
    <x v="684"/>
    <x v="88"/>
    <x v="10"/>
    <x v="7"/>
    <x v="10"/>
    <x v="3"/>
    <x v="14"/>
    <x v="9"/>
    <x v="4"/>
    <x v="4"/>
    <x v="2"/>
    <x v="2"/>
    <x v="5"/>
  </r>
  <r>
    <x v="685"/>
    <x v="129"/>
    <x v="9"/>
    <x v="6"/>
    <x v="9"/>
    <x v="4"/>
    <x v="57"/>
    <x v="5"/>
    <x v="9"/>
    <x v="2"/>
    <x v="0"/>
    <x v="3"/>
    <x v="6"/>
  </r>
  <r>
    <x v="686"/>
    <x v="162"/>
    <x v="0"/>
    <x v="0"/>
    <x v="0"/>
    <x v="4"/>
    <x v="45"/>
    <x v="8"/>
    <x v="6"/>
    <x v="4"/>
    <x v="1"/>
    <x v="1"/>
    <x v="2"/>
  </r>
  <r>
    <x v="687"/>
    <x v="83"/>
    <x v="7"/>
    <x v="2"/>
    <x v="7"/>
    <x v="1"/>
    <x v="62"/>
    <x v="14"/>
    <x v="8"/>
    <x v="4"/>
    <x v="0"/>
    <x v="1"/>
    <x v="3"/>
  </r>
  <r>
    <x v="688"/>
    <x v="122"/>
    <x v="7"/>
    <x v="2"/>
    <x v="7"/>
    <x v="1"/>
    <x v="62"/>
    <x v="4"/>
    <x v="1"/>
    <x v="4"/>
    <x v="0"/>
    <x v="3"/>
    <x v="2"/>
  </r>
  <r>
    <x v="689"/>
    <x v="68"/>
    <x v="5"/>
    <x v="4"/>
    <x v="5"/>
    <x v="4"/>
    <x v="58"/>
    <x v="10"/>
    <x v="9"/>
    <x v="4"/>
    <x v="0"/>
    <x v="4"/>
    <x v="4"/>
  </r>
  <r>
    <x v="690"/>
    <x v="173"/>
    <x v="5"/>
    <x v="4"/>
    <x v="5"/>
    <x v="1"/>
    <x v="27"/>
    <x v="10"/>
    <x v="7"/>
    <x v="3"/>
    <x v="0"/>
    <x v="5"/>
    <x v="5"/>
  </r>
  <r>
    <x v="691"/>
    <x v="155"/>
    <x v="13"/>
    <x v="2"/>
    <x v="12"/>
    <x v="2"/>
    <x v="25"/>
    <x v="7"/>
    <x v="1"/>
    <x v="1"/>
    <x v="1"/>
    <x v="3"/>
    <x v="5"/>
  </r>
  <r>
    <x v="692"/>
    <x v="12"/>
    <x v="13"/>
    <x v="2"/>
    <x v="12"/>
    <x v="2"/>
    <x v="25"/>
    <x v="2"/>
    <x v="6"/>
    <x v="1"/>
    <x v="1"/>
    <x v="5"/>
    <x v="0"/>
  </r>
  <r>
    <x v="693"/>
    <x v="77"/>
    <x v="10"/>
    <x v="7"/>
    <x v="10"/>
    <x v="2"/>
    <x v="22"/>
    <x v="9"/>
    <x v="5"/>
    <x v="4"/>
    <x v="2"/>
    <x v="4"/>
    <x v="6"/>
  </r>
  <r>
    <x v="694"/>
    <x v="75"/>
    <x v="7"/>
    <x v="2"/>
    <x v="7"/>
    <x v="2"/>
    <x v="54"/>
    <x v="13"/>
    <x v="2"/>
    <x v="1"/>
    <x v="0"/>
    <x v="4"/>
    <x v="0"/>
  </r>
  <r>
    <x v="695"/>
    <x v="21"/>
    <x v="11"/>
    <x v="6"/>
    <x v="11"/>
    <x v="1"/>
    <x v="20"/>
    <x v="10"/>
    <x v="2"/>
    <x v="0"/>
    <x v="0"/>
    <x v="1"/>
    <x v="4"/>
  </r>
  <r>
    <x v="696"/>
    <x v="60"/>
    <x v="10"/>
    <x v="7"/>
    <x v="10"/>
    <x v="2"/>
    <x v="22"/>
    <x v="3"/>
    <x v="6"/>
    <x v="1"/>
    <x v="0"/>
    <x v="0"/>
    <x v="1"/>
  </r>
  <r>
    <x v="697"/>
    <x v="69"/>
    <x v="4"/>
    <x v="3"/>
    <x v="4"/>
    <x v="3"/>
    <x v="49"/>
    <x v="11"/>
    <x v="3"/>
    <x v="4"/>
    <x v="1"/>
    <x v="2"/>
    <x v="0"/>
  </r>
  <r>
    <x v="698"/>
    <x v="12"/>
    <x v="7"/>
    <x v="2"/>
    <x v="7"/>
    <x v="0"/>
    <x v="10"/>
    <x v="1"/>
    <x v="6"/>
    <x v="2"/>
    <x v="0"/>
    <x v="5"/>
    <x v="0"/>
  </r>
  <r>
    <x v="699"/>
    <x v="123"/>
    <x v="10"/>
    <x v="7"/>
    <x v="10"/>
    <x v="4"/>
    <x v="48"/>
    <x v="12"/>
    <x v="9"/>
    <x v="0"/>
    <x v="0"/>
    <x v="0"/>
    <x v="5"/>
  </r>
  <r>
    <x v="700"/>
    <x v="158"/>
    <x v="9"/>
    <x v="6"/>
    <x v="9"/>
    <x v="3"/>
    <x v="12"/>
    <x v="7"/>
    <x v="8"/>
    <x v="1"/>
    <x v="0"/>
    <x v="1"/>
    <x v="0"/>
  </r>
  <r>
    <x v="701"/>
    <x v="65"/>
    <x v="12"/>
    <x v="2"/>
    <x v="2"/>
    <x v="0"/>
    <x v="5"/>
    <x v="13"/>
    <x v="6"/>
    <x v="1"/>
    <x v="2"/>
    <x v="2"/>
    <x v="4"/>
  </r>
  <r>
    <x v="702"/>
    <x v="143"/>
    <x v="9"/>
    <x v="6"/>
    <x v="9"/>
    <x v="3"/>
    <x v="12"/>
    <x v="13"/>
    <x v="8"/>
    <x v="0"/>
    <x v="0"/>
    <x v="0"/>
    <x v="4"/>
  </r>
  <r>
    <x v="703"/>
    <x v="49"/>
    <x v="2"/>
    <x v="2"/>
    <x v="2"/>
    <x v="0"/>
    <x v="5"/>
    <x v="10"/>
    <x v="5"/>
    <x v="4"/>
    <x v="0"/>
    <x v="1"/>
    <x v="4"/>
  </r>
  <r>
    <x v="704"/>
    <x v="160"/>
    <x v="11"/>
    <x v="6"/>
    <x v="11"/>
    <x v="3"/>
    <x v="28"/>
    <x v="8"/>
    <x v="1"/>
    <x v="3"/>
    <x v="0"/>
    <x v="5"/>
    <x v="6"/>
  </r>
  <r>
    <x v="705"/>
    <x v="69"/>
    <x v="11"/>
    <x v="6"/>
    <x v="11"/>
    <x v="0"/>
    <x v="16"/>
    <x v="4"/>
    <x v="6"/>
    <x v="4"/>
    <x v="0"/>
    <x v="2"/>
    <x v="0"/>
  </r>
  <r>
    <x v="706"/>
    <x v="74"/>
    <x v="13"/>
    <x v="2"/>
    <x v="12"/>
    <x v="1"/>
    <x v="24"/>
    <x v="2"/>
    <x v="11"/>
    <x v="0"/>
    <x v="0"/>
    <x v="2"/>
    <x v="4"/>
  </r>
  <r>
    <x v="707"/>
    <x v="125"/>
    <x v="0"/>
    <x v="0"/>
    <x v="0"/>
    <x v="2"/>
    <x v="15"/>
    <x v="11"/>
    <x v="1"/>
    <x v="2"/>
    <x v="1"/>
    <x v="1"/>
    <x v="1"/>
  </r>
  <r>
    <x v="708"/>
    <x v="1"/>
    <x v="3"/>
    <x v="2"/>
    <x v="3"/>
    <x v="3"/>
    <x v="41"/>
    <x v="13"/>
    <x v="11"/>
    <x v="3"/>
    <x v="1"/>
    <x v="1"/>
    <x v="1"/>
  </r>
  <r>
    <x v="709"/>
    <x v="76"/>
    <x v="1"/>
    <x v="1"/>
    <x v="1"/>
    <x v="0"/>
    <x v="1"/>
    <x v="2"/>
    <x v="5"/>
    <x v="1"/>
    <x v="0"/>
    <x v="3"/>
    <x v="5"/>
  </r>
  <r>
    <x v="710"/>
    <x v="75"/>
    <x v="13"/>
    <x v="2"/>
    <x v="12"/>
    <x v="2"/>
    <x v="25"/>
    <x v="11"/>
    <x v="6"/>
    <x v="1"/>
    <x v="0"/>
    <x v="4"/>
    <x v="0"/>
  </r>
  <r>
    <x v="711"/>
    <x v="139"/>
    <x v="0"/>
    <x v="0"/>
    <x v="0"/>
    <x v="2"/>
    <x v="15"/>
    <x v="4"/>
    <x v="9"/>
    <x v="4"/>
    <x v="0"/>
    <x v="0"/>
    <x v="6"/>
  </r>
  <r>
    <x v="712"/>
    <x v="34"/>
    <x v="14"/>
    <x v="2"/>
    <x v="13"/>
    <x v="1"/>
    <x v="66"/>
    <x v="9"/>
    <x v="4"/>
    <x v="0"/>
    <x v="2"/>
    <x v="2"/>
    <x v="4"/>
  </r>
  <r>
    <x v="713"/>
    <x v="3"/>
    <x v="13"/>
    <x v="2"/>
    <x v="12"/>
    <x v="3"/>
    <x v="23"/>
    <x v="5"/>
    <x v="7"/>
    <x v="3"/>
    <x v="2"/>
    <x v="0"/>
    <x v="2"/>
  </r>
  <r>
    <x v="714"/>
    <x v="63"/>
    <x v="8"/>
    <x v="3"/>
    <x v="8"/>
    <x v="1"/>
    <x v="69"/>
    <x v="1"/>
    <x v="7"/>
    <x v="0"/>
    <x v="0"/>
    <x v="5"/>
    <x v="4"/>
  </r>
  <r>
    <x v="715"/>
    <x v="46"/>
    <x v="7"/>
    <x v="2"/>
    <x v="7"/>
    <x v="0"/>
    <x v="10"/>
    <x v="6"/>
    <x v="9"/>
    <x v="3"/>
    <x v="0"/>
    <x v="5"/>
    <x v="3"/>
  </r>
  <r>
    <x v="716"/>
    <x v="118"/>
    <x v="0"/>
    <x v="0"/>
    <x v="0"/>
    <x v="0"/>
    <x v="0"/>
    <x v="13"/>
    <x v="7"/>
    <x v="0"/>
    <x v="0"/>
    <x v="1"/>
    <x v="1"/>
  </r>
  <r>
    <x v="717"/>
    <x v="1"/>
    <x v="5"/>
    <x v="4"/>
    <x v="5"/>
    <x v="3"/>
    <x v="67"/>
    <x v="8"/>
    <x v="0"/>
    <x v="3"/>
    <x v="0"/>
    <x v="1"/>
    <x v="1"/>
  </r>
  <r>
    <x v="718"/>
    <x v="9"/>
    <x v="1"/>
    <x v="1"/>
    <x v="1"/>
    <x v="1"/>
    <x v="4"/>
    <x v="2"/>
    <x v="11"/>
    <x v="4"/>
    <x v="0"/>
    <x v="0"/>
    <x v="4"/>
  </r>
  <r>
    <x v="719"/>
    <x v="132"/>
    <x v="6"/>
    <x v="5"/>
    <x v="6"/>
    <x v="2"/>
    <x v="51"/>
    <x v="4"/>
    <x v="2"/>
    <x v="1"/>
    <x v="1"/>
    <x v="5"/>
    <x v="0"/>
  </r>
  <r>
    <x v="720"/>
    <x v="115"/>
    <x v="1"/>
    <x v="1"/>
    <x v="1"/>
    <x v="1"/>
    <x v="4"/>
    <x v="10"/>
    <x v="3"/>
    <x v="0"/>
    <x v="0"/>
    <x v="2"/>
    <x v="3"/>
  </r>
  <r>
    <x v="721"/>
    <x v="17"/>
    <x v="9"/>
    <x v="6"/>
    <x v="9"/>
    <x v="3"/>
    <x v="12"/>
    <x v="13"/>
    <x v="5"/>
    <x v="4"/>
    <x v="0"/>
    <x v="5"/>
    <x v="2"/>
  </r>
  <r>
    <x v="722"/>
    <x v="125"/>
    <x v="4"/>
    <x v="3"/>
    <x v="4"/>
    <x v="2"/>
    <x v="37"/>
    <x v="6"/>
    <x v="3"/>
    <x v="1"/>
    <x v="1"/>
    <x v="1"/>
    <x v="1"/>
  </r>
  <r>
    <x v="723"/>
    <x v="40"/>
    <x v="10"/>
    <x v="7"/>
    <x v="10"/>
    <x v="3"/>
    <x v="14"/>
    <x v="9"/>
    <x v="6"/>
    <x v="0"/>
    <x v="2"/>
    <x v="5"/>
    <x v="5"/>
  </r>
  <r>
    <x v="724"/>
    <x v="11"/>
    <x v="3"/>
    <x v="2"/>
    <x v="3"/>
    <x v="4"/>
    <x v="63"/>
    <x v="3"/>
    <x v="6"/>
    <x v="1"/>
    <x v="0"/>
    <x v="0"/>
    <x v="3"/>
  </r>
  <r>
    <x v="725"/>
    <x v="93"/>
    <x v="12"/>
    <x v="2"/>
    <x v="2"/>
    <x v="0"/>
    <x v="5"/>
    <x v="9"/>
    <x v="3"/>
    <x v="2"/>
    <x v="0"/>
    <x v="0"/>
    <x v="4"/>
  </r>
  <r>
    <x v="726"/>
    <x v="120"/>
    <x v="10"/>
    <x v="7"/>
    <x v="10"/>
    <x v="4"/>
    <x v="48"/>
    <x v="1"/>
    <x v="3"/>
    <x v="4"/>
    <x v="0"/>
    <x v="1"/>
    <x v="5"/>
  </r>
  <r>
    <x v="727"/>
    <x v="70"/>
    <x v="13"/>
    <x v="2"/>
    <x v="12"/>
    <x v="3"/>
    <x v="23"/>
    <x v="2"/>
    <x v="11"/>
    <x v="1"/>
    <x v="0"/>
    <x v="5"/>
    <x v="6"/>
  </r>
  <r>
    <x v="728"/>
    <x v="110"/>
    <x v="4"/>
    <x v="3"/>
    <x v="4"/>
    <x v="1"/>
    <x v="6"/>
    <x v="10"/>
    <x v="1"/>
    <x v="4"/>
    <x v="0"/>
    <x v="3"/>
    <x v="4"/>
  </r>
  <r>
    <x v="729"/>
    <x v="101"/>
    <x v="2"/>
    <x v="2"/>
    <x v="2"/>
    <x v="1"/>
    <x v="2"/>
    <x v="2"/>
    <x v="7"/>
    <x v="0"/>
    <x v="0"/>
    <x v="3"/>
    <x v="2"/>
  </r>
  <r>
    <x v="730"/>
    <x v="66"/>
    <x v="6"/>
    <x v="5"/>
    <x v="6"/>
    <x v="4"/>
    <x v="43"/>
    <x v="13"/>
    <x v="2"/>
    <x v="3"/>
    <x v="2"/>
    <x v="4"/>
    <x v="2"/>
  </r>
  <r>
    <x v="731"/>
    <x v="154"/>
    <x v="1"/>
    <x v="1"/>
    <x v="1"/>
    <x v="4"/>
    <x v="21"/>
    <x v="3"/>
    <x v="7"/>
    <x v="2"/>
    <x v="1"/>
    <x v="1"/>
    <x v="4"/>
  </r>
  <r>
    <x v="732"/>
    <x v="58"/>
    <x v="7"/>
    <x v="2"/>
    <x v="7"/>
    <x v="3"/>
    <x v="44"/>
    <x v="4"/>
    <x v="3"/>
    <x v="0"/>
    <x v="0"/>
    <x v="3"/>
    <x v="1"/>
  </r>
  <r>
    <x v="733"/>
    <x v="25"/>
    <x v="4"/>
    <x v="3"/>
    <x v="4"/>
    <x v="4"/>
    <x v="61"/>
    <x v="10"/>
    <x v="5"/>
    <x v="3"/>
    <x v="1"/>
    <x v="3"/>
    <x v="4"/>
  </r>
  <r>
    <x v="734"/>
    <x v="94"/>
    <x v="11"/>
    <x v="6"/>
    <x v="11"/>
    <x v="1"/>
    <x v="20"/>
    <x v="12"/>
    <x v="4"/>
    <x v="3"/>
    <x v="0"/>
    <x v="3"/>
    <x v="6"/>
  </r>
  <r>
    <x v="735"/>
    <x v="37"/>
    <x v="4"/>
    <x v="3"/>
    <x v="4"/>
    <x v="4"/>
    <x v="61"/>
    <x v="6"/>
    <x v="5"/>
    <x v="1"/>
    <x v="0"/>
    <x v="2"/>
    <x v="6"/>
  </r>
  <r>
    <x v="736"/>
    <x v="81"/>
    <x v="3"/>
    <x v="2"/>
    <x v="3"/>
    <x v="3"/>
    <x v="41"/>
    <x v="9"/>
    <x v="1"/>
    <x v="1"/>
    <x v="2"/>
    <x v="2"/>
    <x v="0"/>
  </r>
  <r>
    <x v="737"/>
    <x v="158"/>
    <x v="12"/>
    <x v="2"/>
    <x v="2"/>
    <x v="3"/>
    <x v="13"/>
    <x v="2"/>
    <x v="11"/>
    <x v="2"/>
    <x v="0"/>
    <x v="1"/>
    <x v="0"/>
  </r>
  <r>
    <x v="738"/>
    <x v="170"/>
    <x v="14"/>
    <x v="2"/>
    <x v="13"/>
    <x v="4"/>
    <x v="35"/>
    <x v="11"/>
    <x v="0"/>
    <x v="3"/>
    <x v="2"/>
    <x v="2"/>
    <x v="6"/>
  </r>
  <r>
    <x v="739"/>
    <x v="118"/>
    <x v="14"/>
    <x v="2"/>
    <x v="13"/>
    <x v="4"/>
    <x v="35"/>
    <x v="13"/>
    <x v="10"/>
    <x v="4"/>
    <x v="0"/>
    <x v="1"/>
    <x v="1"/>
  </r>
  <r>
    <x v="740"/>
    <x v="37"/>
    <x v="8"/>
    <x v="3"/>
    <x v="8"/>
    <x v="0"/>
    <x v="11"/>
    <x v="7"/>
    <x v="0"/>
    <x v="2"/>
    <x v="0"/>
    <x v="2"/>
    <x v="6"/>
  </r>
  <r>
    <x v="741"/>
    <x v="68"/>
    <x v="3"/>
    <x v="2"/>
    <x v="3"/>
    <x v="0"/>
    <x v="18"/>
    <x v="2"/>
    <x v="6"/>
    <x v="0"/>
    <x v="1"/>
    <x v="4"/>
    <x v="4"/>
  </r>
  <r>
    <x v="742"/>
    <x v="53"/>
    <x v="1"/>
    <x v="1"/>
    <x v="1"/>
    <x v="4"/>
    <x v="21"/>
    <x v="9"/>
    <x v="0"/>
    <x v="0"/>
    <x v="1"/>
    <x v="3"/>
    <x v="3"/>
  </r>
  <r>
    <x v="743"/>
    <x v="85"/>
    <x v="9"/>
    <x v="6"/>
    <x v="9"/>
    <x v="4"/>
    <x v="57"/>
    <x v="10"/>
    <x v="11"/>
    <x v="2"/>
    <x v="0"/>
    <x v="2"/>
    <x v="2"/>
  </r>
  <r>
    <x v="744"/>
    <x v="119"/>
    <x v="3"/>
    <x v="2"/>
    <x v="3"/>
    <x v="0"/>
    <x v="18"/>
    <x v="13"/>
    <x v="11"/>
    <x v="0"/>
    <x v="0"/>
    <x v="0"/>
    <x v="0"/>
  </r>
  <r>
    <x v="745"/>
    <x v="0"/>
    <x v="8"/>
    <x v="3"/>
    <x v="8"/>
    <x v="2"/>
    <x v="40"/>
    <x v="3"/>
    <x v="6"/>
    <x v="1"/>
    <x v="0"/>
    <x v="0"/>
    <x v="0"/>
  </r>
  <r>
    <x v="746"/>
    <x v="8"/>
    <x v="5"/>
    <x v="4"/>
    <x v="5"/>
    <x v="0"/>
    <x v="7"/>
    <x v="11"/>
    <x v="2"/>
    <x v="0"/>
    <x v="0"/>
    <x v="2"/>
    <x v="5"/>
  </r>
  <r>
    <x v="747"/>
    <x v="129"/>
    <x v="0"/>
    <x v="0"/>
    <x v="0"/>
    <x v="4"/>
    <x v="45"/>
    <x v="8"/>
    <x v="4"/>
    <x v="4"/>
    <x v="0"/>
    <x v="3"/>
    <x v="6"/>
  </r>
  <r>
    <x v="748"/>
    <x v="92"/>
    <x v="1"/>
    <x v="1"/>
    <x v="1"/>
    <x v="0"/>
    <x v="1"/>
    <x v="6"/>
    <x v="5"/>
    <x v="0"/>
    <x v="1"/>
    <x v="0"/>
    <x v="2"/>
  </r>
  <r>
    <x v="749"/>
    <x v="140"/>
    <x v="9"/>
    <x v="6"/>
    <x v="9"/>
    <x v="2"/>
    <x v="55"/>
    <x v="5"/>
    <x v="7"/>
    <x v="3"/>
    <x v="0"/>
    <x v="1"/>
    <x v="0"/>
  </r>
  <r>
    <x v="750"/>
    <x v="24"/>
    <x v="1"/>
    <x v="1"/>
    <x v="1"/>
    <x v="0"/>
    <x v="1"/>
    <x v="8"/>
    <x v="1"/>
    <x v="3"/>
    <x v="0"/>
    <x v="0"/>
    <x v="5"/>
  </r>
  <r>
    <x v="751"/>
    <x v="87"/>
    <x v="12"/>
    <x v="2"/>
    <x v="2"/>
    <x v="2"/>
    <x v="8"/>
    <x v="13"/>
    <x v="1"/>
    <x v="4"/>
    <x v="1"/>
    <x v="5"/>
    <x v="4"/>
  </r>
  <r>
    <x v="752"/>
    <x v="52"/>
    <x v="11"/>
    <x v="6"/>
    <x v="11"/>
    <x v="4"/>
    <x v="29"/>
    <x v="6"/>
    <x v="2"/>
    <x v="3"/>
    <x v="1"/>
    <x v="4"/>
    <x v="2"/>
  </r>
  <r>
    <x v="753"/>
    <x v="59"/>
    <x v="7"/>
    <x v="2"/>
    <x v="7"/>
    <x v="0"/>
    <x v="10"/>
    <x v="9"/>
    <x v="4"/>
    <x v="4"/>
    <x v="0"/>
    <x v="3"/>
    <x v="6"/>
  </r>
  <r>
    <x v="754"/>
    <x v="78"/>
    <x v="4"/>
    <x v="3"/>
    <x v="4"/>
    <x v="0"/>
    <x v="31"/>
    <x v="8"/>
    <x v="1"/>
    <x v="4"/>
    <x v="0"/>
    <x v="5"/>
    <x v="1"/>
  </r>
  <r>
    <x v="755"/>
    <x v="91"/>
    <x v="7"/>
    <x v="2"/>
    <x v="7"/>
    <x v="3"/>
    <x v="44"/>
    <x v="3"/>
    <x v="10"/>
    <x v="0"/>
    <x v="0"/>
    <x v="0"/>
    <x v="2"/>
  </r>
  <r>
    <x v="756"/>
    <x v="34"/>
    <x v="9"/>
    <x v="6"/>
    <x v="9"/>
    <x v="4"/>
    <x v="57"/>
    <x v="10"/>
    <x v="9"/>
    <x v="4"/>
    <x v="0"/>
    <x v="2"/>
    <x v="4"/>
  </r>
  <r>
    <x v="757"/>
    <x v="44"/>
    <x v="4"/>
    <x v="3"/>
    <x v="4"/>
    <x v="4"/>
    <x v="61"/>
    <x v="13"/>
    <x v="3"/>
    <x v="1"/>
    <x v="2"/>
    <x v="0"/>
    <x v="0"/>
  </r>
  <r>
    <x v="758"/>
    <x v="82"/>
    <x v="5"/>
    <x v="4"/>
    <x v="5"/>
    <x v="0"/>
    <x v="7"/>
    <x v="13"/>
    <x v="1"/>
    <x v="2"/>
    <x v="0"/>
    <x v="0"/>
    <x v="3"/>
  </r>
  <r>
    <x v="759"/>
    <x v="10"/>
    <x v="10"/>
    <x v="7"/>
    <x v="10"/>
    <x v="2"/>
    <x v="22"/>
    <x v="2"/>
    <x v="2"/>
    <x v="0"/>
    <x v="0"/>
    <x v="4"/>
    <x v="0"/>
  </r>
  <r>
    <x v="760"/>
    <x v="148"/>
    <x v="5"/>
    <x v="4"/>
    <x v="5"/>
    <x v="1"/>
    <x v="27"/>
    <x v="14"/>
    <x v="11"/>
    <x v="4"/>
    <x v="1"/>
    <x v="2"/>
    <x v="3"/>
  </r>
  <r>
    <x v="761"/>
    <x v="144"/>
    <x v="11"/>
    <x v="6"/>
    <x v="11"/>
    <x v="2"/>
    <x v="68"/>
    <x v="2"/>
    <x v="3"/>
    <x v="0"/>
    <x v="0"/>
    <x v="2"/>
    <x v="5"/>
  </r>
  <r>
    <x v="762"/>
    <x v="161"/>
    <x v="8"/>
    <x v="3"/>
    <x v="8"/>
    <x v="1"/>
    <x v="69"/>
    <x v="5"/>
    <x v="2"/>
    <x v="1"/>
    <x v="0"/>
    <x v="4"/>
    <x v="4"/>
  </r>
  <r>
    <x v="763"/>
    <x v="50"/>
    <x v="8"/>
    <x v="3"/>
    <x v="8"/>
    <x v="1"/>
    <x v="69"/>
    <x v="4"/>
    <x v="6"/>
    <x v="2"/>
    <x v="1"/>
    <x v="4"/>
    <x v="0"/>
  </r>
  <r>
    <x v="764"/>
    <x v="80"/>
    <x v="1"/>
    <x v="1"/>
    <x v="1"/>
    <x v="2"/>
    <x v="52"/>
    <x v="5"/>
    <x v="6"/>
    <x v="1"/>
    <x v="0"/>
    <x v="4"/>
    <x v="0"/>
  </r>
  <r>
    <x v="765"/>
    <x v="5"/>
    <x v="9"/>
    <x v="6"/>
    <x v="9"/>
    <x v="2"/>
    <x v="55"/>
    <x v="1"/>
    <x v="6"/>
    <x v="0"/>
    <x v="0"/>
    <x v="2"/>
    <x v="3"/>
  </r>
  <r>
    <x v="766"/>
    <x v="64"/>
    <x v="1"/>
    <x v="1"/>
    <x v="1"/>
    <x v="4"/>
    <x v="21"/>
    <x v="6"/>
    <x v="10"/>
    <x v="4"/>
    <x v="0"/>
    <x v="0"/>
    <x v="3"/>
  </r>
  <r>
    <x v="767"/>
    <x v="174"/>
    <x v="13"/>
    <x v="2"/>
    <x v="12"/>
    <x v="1"/>
    <x v="24"/>
    <x v="12"/>
    <x v="3"/>
    <x v="3"/>
    <x v="0"/>
    <x v="3"/>
    <x v="6"/>
  </r>
  <r>
    <x v="768"/>
    <x v="90"/>
    <x v="10"/>
    <x v="7"/>
    <x v="10"/>
    <x v="2"/>
    <x v="22"/>
    <x v="10"/>
    <x v="10"/>
    <x v="3"/>
    <x v="0"/>
    <x v="3"/>
    <x v="5"/>
  </r>
  <r>
    <x v="769"/>
    <x v="110"/>
    <x v="1"/>
    <x v="1"/>
    <x v="1"/>
    <x v="0"/>
    <x v="1"/>
    <x v="14"/>
    <x v="5"/>
    <x v="1"/>
    <x v="2"/>
    <x v="3"/>
    <x v="4"/>
  </r>
  <r>
    <x v="770"/>
    <x v="86"/>
    <x v="9"/>
    <x v="6"/>
    <x v="9"/>
    <x v="0"/>
    <x v="19"/>
    <x v="9"/>
    <x v="9"/>
    <x v="0"/>
    <x v="0"/>
    <x v="4"/>
    <x v="2"/>
  </r>
  <r>
    <x v="771"/>
    <x v="67"/>
    <x v="9"/>
    <x v="6"/>
    <x v="9"/>
    <x v="2"/>
    <x v="55"/>
    <x v="2"/>
    <x v="2"/>
    <x v="4"/>
    <x v="0"/>
    <x v="1"/>
    <x v="5"/>
  </r>
  <r>
    <x v="772"/>
    <x v="91"/>
    <x v="7"/>
    <x v="2"/>
    <x v="7"/>
    <x v="2"/>
    <x v="54"/>
    <x v="7"/>
    <x v="9"/>
    <x v="0"/>
    <x v="0"/>
    <x v="0"/>
    <x v="2"/>
  </r>
  <r>
    <x v="773"/>
    <x v="70"/>
    <x v="12"/>
    <x v="2"/>
    <x v="2"/>
    <x v="3"/>
    <x v="13"/>
    <x v="11"/>
    <x v="8"/>
    <x v="1"/>
    <x v="0"/>
    <x v="5"/>
    <x v="6"/>
  </r>
  <r>
    <x v="774"/>
    <x v="163"/>
    <x v="13"/>
    <x v="2"/>
    <x v="12"/>
    <x v="0"/>
    <x v="65"/>
    <x v="11"/>
    <x v="1"/>
    <x v="3"/>
    <x v="1"/>
    <x v="3"/>
    <x v="4"/>
  </r>
  <r>
    <x v="775"/>
    <x v="13"/>
    <x v="13"/>
    <x v="2"/>
    <x v="12"/>
    <x v="3"/>
    <x v="23"/>
    <x v="2"/>
    <x v="11"/>
    <x v="2"/>
    <x v="0"/>
    <x v="1"/>
    <x v="0"/>
  </r>
  <r>
    <x v="776"/>
    <x v="112"/>
    <x v="8"/>
    <x v="3"/>
    <x v="8"/>
    <x v="2"/>
    <x v="40"/>
    <x v="10"/>
    <x v="10"/>
    <x v="1"/>
    <x v="0"/>
    <x v="5"/>
    <x v="4"/>
  </r>
  <r>
    <x v="777"/>
    <x v="58"/>
    <x v="8"/>
    <x v="3"/>
    <x v="8"/>
    <x v="1"/>
    <x v="69"/>
    <x v="11"/>
    <x v="1"/>
    <x v="3"/>
    <x v="0"/>
    <x v="3"/>
    <x v="1"/>
  </r>
  <r>
    <x v="778"/>
    <x v="138"/>
    <x v="10"/>
    <x v="7"/>
    <x v="10"/>
    <x v="4"/>
    <x v="48"/>
    <x v="0"/>
    <x v="3"/>
    <x v="3"/>
    <x v="0"/>
    <x v="0"/>
    <x v="6"/>
  </r>
  <r>
    <x v="779"/>
    <x v="159"/>
    <x v="8"/>
    <x v="3"/>
    <x v="8"/>
    <x v="3"/>
    <x v="60"/>
    <x v="14"/>
    <x v="6"/>
    <x v="4"/>
    <x v="0"/>
    <x v="5"/>
    <x v="2"/>
  </r>
  <r>
    <x v="780"/>
    <x v="171"/>
    <x v="13"/>
    <x v="2"/>
    <x v="12"/>
    <x v="3"/>
    <x v="23"/>
    <x v="12"/>
    <x v="2"/>
    <x v="3"/>
    <x v="0"/>
    <x v="0"/>
    <x v="4"/>
  </r>
  <r>
    <x v="781"/>
    <x v="83"/>
    <x v="4"/>
    <x v="3"/>
    <x v="4"/>
    <x v="1"/>
    <x v="6"/>
    <x v="2"/>
    <x v="9"/>
    <x v="1"/>
    <x v="1"/>
    <x v="1"/>
    <x v="3"/>
  </r>
  <r>
    <x v="782"/>
    <x v="64"/>
    <x v="14"/>
    <x v="2"/>
    <x v="13"/>
    <x v="2"/>
    <x v="32"/>
    <x v="2"/>
    <x v="5"/>
    <x v="2"/>
    <x v="0"/>
    <x v="0"/>
    <x v="3"/>
  </r>
  <r>
    <x v="783"/>
    <x v="73"/>
    <x v="2"/>
    <x v="2"/>
    <x v="2"/>
    <x v="3"/>
    <x v="13"/>
    <x v="0"/>
    <x v="10"/>
    <x v="4"/>
    <x v="0"/>
    <x v="3"/>
    <x v="2"/>
  </r>
  <r>
    <x v="784"/>
    <x v="10"/>
    <x v="5"/>
    <x v="4"/>
    <x v="5"/>
    <x v="1"/>
    <x v="27"/>
    <x v="7"/>
    <x v="4"/>
    <x v="2"/>
    <x v="1"/>
    <x v="4"/>
    <x v="0"/>
  </r>
  <r>
    <x v="785"/>
    <x v="2"/>
    <x v="4"/>
    <x v="3"/>
    <x v="4"/>
    <x v="0"/>
    <x v="31"/>
    <x v="3"/>
    <x v="11"/>
    <x v="0"/>
    <x v="0"/>
    <x v="1"/>
    <x v="2"/>
  </r>
  <r>
    <x v="786"/>
    <x v="107"/>
    <x v="6"/>
    <x v="5"/>
    <x v="6"/>
    <x v="3"/>
    <x v="39"/>
    <x v="7"/>
    <x v="2"/>
    <x v="1"/>
    <x v="0"/>
    <x v="3"/>
    <x v="2"/>
  </r>
  <r>
    <x v="787"/>
    <x v="81"/>
    <x v="2"/>
    <x v="2"/>
    <x v="2"/>
    <x v="0"/>
    <x v="5"/>
    <x v="0"/>
    <x v="5"/>
    <x v="2"/>
    <x v="0"/>
    <x v="2"/>
    <x v="0"/>
  </r>
  <r>
    <x v="788"/>
    <x v="111"/>
    <x v="1"/>
    <x v="1"/>
    <x v="1"/>
    <x v="3"/>
    <x v="46"/>
    <x v="4"/>
    <x v="11"/>
    <x v="3"/>
    <x v="0"/>
    <x v="5"/>
    <x v="3"/>
  </r>
  <r>
    <x v="789"/>
    <x v="137"/>
    <x v="7"/>
    <x v="2"/>
    <x v="7"/>
    <x v="3"/>
    <x v="44"/>
    <x v="12"/>
    <x v="3"/>
    <x v="0"/>
    <x v="2"/>
    <x v="4"/>
    <x v="2"/>
  </r>
  <r>
    <x v="790"/>
    <x v="158"/>
    <x v="4"/>
    <x v="3"/>
    <x v="4"/>
    <x v="1"/>
    <x v="6"/>
    <x v="1"/>
    <x v="4"/>
    <x v="4"/>
    <x v="0"/>
    <x v="1"/>
    <x v="0"/>
  </r>
  <r>
    <x v="791"/>
    <x v="116"/>
    <x v="12"/>
    <x v="2"/>
    <x v="2"/>
    <x v="1"/>
    <x v="2"/>
    <x v="2"/>
    <x v="6"/>
    <x v="4"/>
    <x v="1"/>
    <x v="4"/>
    <x v="0"/>
  </r>
  <r>
    <x v="792"/>
    <x v="67"/>
    <x v="8"/>
    <x v="3"/>
    <x v="8"/>
    <x v="4"/>
    <x v="50"/>
    <x v="9"/>
    <x v="9"/>
    <x v="4"/>
    <x v="0"/>
    <x v="1"/>
    <x v="5"/>
  </r>
  <r>
    <x v="793"/>
    <x v="32"/>
    <x v="9"/>
    <x v="6"/>
    <x v="9"/>
    <x v="4"/>
    <x v="57"/>
    <x v="9"/>
    <x v="10"/>
    <x v="2"/>
    <x v="2"/>
    <x v="2"/>
    <x v="1"/>
  </r>
  <r>
    <x v="794"/>
    <x v="35"/>
    <x v="5"/>
    <x v="4"/>
    <x v="5"/>
    <x v="1"/>
    <x v="27"/>
    <x v="0"/>
    <x v="1"/>
    <x v="3"/>
    <x v="0"/>
    <x v="2"/>
    <x v="2"/>
  </r>
  <r>
    <x v="795"/>
    <x v="165"/>
    <x v="0"/>
    <x v="0"/>
    <x v="0"/>
    <x v="1"/>
    <x v="56"/>
    <x v="11"/>
    <x v="4"/>
    <x v="0"/>
    <x v="0"/>
    <x v="1"/>
    <x v="3"/>
  </r>
  <r>
    <x v="796"/>
    <x v="81"/>
    <x v="3"/>
    <x v="2"/>
    <x v="3"/>
    <x v="1"/>
    <x v="47"/>
    <x v="9"/>
    <x v="4"/>
    <x v="4"/>
    <x v="2"/>
    <x v="2"/>
    <x v="0"/>
  </r>
  <r>
    <x v="797"/>
    <x v="103"/>
    <x v="0"/>
    <x v="0"/>
    <x v="0"/>
    <x v="3"/>
    <x v="36"/>
    <x v="12"/>
    <x v="7"/>
    <x v="0"/>
    <x v="1"/>
    <x v="3"/>
    <x v="5"/>
  </r>
  <r>
    <x v="798"/>
    <x v="81"/>
    <x v="6"/>
    <x v="5"/>
    <x v="6"/>
    <x v="1"/>
    <x v="34"/>
    <x v="10"/>
    <x v="8"/>
    <x v="3"/>
    <x v="1"/>
    <x v="2"/>
    <x v="0"/>
  </r>
  <r>
    <x v="799"/>
    <x v="143"/>
    <x v="10"/>
    <x v="7"/>
    <x v="10"/>
    <x v="1"/>
    <x v="59"/>
    <x v="10"/>
    <x v="10"/>
    <x v="1"/>
    <x v="0"/>
    <x v="0"/>
    <x v="4"/>
  </r>
  <r>
    <x v="800"/>
    <x v="98"/>
    <x v="14"/>
    <x v="2"/>
    <x v="13"/>
    <x v="0"/>
    <x v="64"/>
    <x v="13"/>
    <x v="5"/>
    <x v="2"/>
    <x v="0"/>
    <x v="5"/>
    <x v="5"/>
  </r>
  <r>
    <x v="801"/>
    <x v="128"/>
    <x v="3"/>
    <x v="2"/>
    <x v="3"/>
    <x v="4"/>
    <x v="63"/>
    <x v="4"/>
    <x v="2"/>
    <x v="1"/>
    <x v="0"/>
    <x v="0"/>
    <x v="0"/>
  </r>
  <r>
    <x v="802"/>
    <x v="158"/>
    <x v="3"/>
    <x v="2"/>
    <x v="3"/>
    <x v="3"/>
    <x v="41"/>
    <x v="14"/>
    <x v="11"/>
    <x v="0"/>
    <x v="0"/>
    <x v="1"/>
    <x v="0"/>
  </r>
  <r>
    <x v="803"/>
    <x v="66"/>
    <x v="8"/>
    <x v="3"/>
    <x v="8"/>
    <x v="3"/>
    <x v="60"/>
    <x v="7"/>
    <x v="1"/>
    <x v="3"/>
    <x v="0"/>
    <x v="4"/>
    <x v="2"/>
  </r>
  <r>
    <x v="804"/>
    <x v="90"/>
    <x v="1"/>
    <x v="1"/>
    <x v="1"/>
    <x v="1"/>
    <x v="4"/>
    <x v="12"/>
    <x v="3"/>
    <x v="1"/>
    <x v="0"/>
    <x v="3"/>
    <x v="5"/>
  </r>
  <r>
    <x v="805"/>
    <x v="118"/>
    <x v="10"/>
    <x v="7"/>
    <x v="10"/>
    <x v="0"/>
    <x v="33"/>
    <x v="12"/>
    <x v="0"/>
    <x v="1"/>
    <x v="0"/>
    <x v="1"/>
    <x v="1"/>
  </r>
  <r>
    <x v="806"/>
    <x v="168"/>
    <x v="7"/>
    <x v="2"/>
    <x v="7"/>
    <x v="3"/>
    <x v="44"/>
    <x v="8"/>
    <x v="2"/>
    <x v="3"/>
    <x v="0"/>
    <x v="0"/>
    <x v="1"/>
  </r>
  <r>
    <x v="807"/>
    <x v="24"/>
    <x v="2"/>
    <x v="2"/>
    <x v="2"/>
    <x v="4"/>
    <x v="38"/>
    <x v="14"/>
    <x v="4"/>
    <x v="0"/>
    <x v="1"/>
    <x v="0"/>
    <x v="5"/>
  </r>
  <r>
    <x v="808"/>
    <x v="146"/>
    <x v="1"/>
    <x v="1"/>
    <x v="1"/>
    <x v="0"/>
    <x v="1"/>
    <x v="14"/>
    <x v="8"/>
    <x v="0"/>
    <x v="0"/>
    <x v="3"/>
    <x v="0"/>
  </r>
  <r>
    <x v="809"/>
    <x v="137"/>
    <x v="13"/>
    <x v="2"/>
    <x v="12"/>
    <x v="1"/>
    <x v="24"/>
    <x v="2"/>
    <x v="3"/>
    <x v="2"/>
    <x v="0"/>
    <x v="4"/>
    <x v="2"/>
  </r>
  <r>
    <x v="810"/>
    <x v="112"/>
    <x v="4"/>
    <x v="3"/>
    <x v="4"/>
    <x v="3"/>
    <x v="49"/>
    <x v="7"/>
    <x v="3"/>
    <x v="0"/>
    <x v="0"/>
    <x v="5"/>
    <x v="4"/>
  </r>
  <r>
    <x v="811"/>
    <x v="165"/>
    <x v="6"/>
    <x v="5"/>
    <x v="6"/>
    <x v="3"/>
    <x v="39"/>
    <x v="6"/>
    <x v="2"/>
    <x v="4"/>
    <x v="0"/>
    <x v="1"/>
    <x v="3"/>
  </r>
  <r>
    <x v="812"/>
    <x v="133"/>
    <x v="0"/>
    <x v="0"/>
    <x v="0"/>
    <x v="3"/>
    <x v="36"/>
    <x v="7"/>
    <x v="4"/>
    <x v="4"/>
    <x v="1"/>
    <x v="2"/>
    <x v="1"/>
  </r>
  <r>
    <x v="813"/>
    <x v="10"/>
    <x v="2"/>
    <x v="2"/>
    <x v="2"/>
    <x v="4"/>
    <x v="38"/>
    <x v="8"/>
    <x v="6"/>
    <x v="2"/>
    <x v="0"/>
    <x v="4"/>
    <x v="0"/>
  </r>
  <r>
    <x v="814"/>
    <x v="121"/>
    <x v="10"/>
    <x v="7"/>
    <x v="10"/>
    <x v="2"/>
    <x v="22"/>
    <x v="4"/>
    <x v="9"/>
    <x v="0"/>
    <x v="0"/>
    <x v="1"/>
    <x v="6"/>
  </r>
  <r>
    <x v="815"/>
    <x v="164"/>
    <x v="7"/>
    <x v="2"/>
    <x v="7"/>
    <x v="2"/>
    <x v="54"/>
    <x v="0"/>
    <x v="3"/>
    <x v="0"/>
    <x v="0"/>
    <x v="4"/>
    <x v="1"/>
  </r>
  <r>
    <x v="816"/>
    <x v="100"/>
    <x v="14"/>
    <x v="2"/>
    <x v="13"/>
    <x v="1"/>
    <x v="66"/>
    <x v="12"/>
    <x v="6"/>
    <x v="4"/>
    <x v="0"/>
    <x v="2"/>
    <x v="3"/>
  </r>
  <r>
    <x v="817"/>
    <x v="144"/>
    <x v="9"/>
    <x v="6"/>
    <x v="9"/>
    <x v="0"/>
    <x v="19"/>
    <x v="1"/>
    <x v="6"/>
    <x v="4"/>
    <x v="1"/>
    <x v="2"/>
    <x v="5"/>
  </r>
  <r>
    <x v="818"/>
    <x v="40"/>
    <x v="12"/>
    <x v="2"/>
    <x v="2"/>
    <x v="2"/>
    <x v="8"/>
    <x v="7"/>
    <x v="3"/>
    <x v="4"/>
    <x v="0"/>
    <x v="5"/>
    <x v="5"/>
  </r>
  <r>
    <x v="819"/>
    <x v="45"/>
    <x v="0"/>
    <x v="0"/>
    <x v="0"/>
    <x v="3"/>
    <x v="36"/>
    <x v="8"/>
    <x v="6"/>
    <x v="2"/>
    <x v="0"/>
    <x v="0"/>
    <x v="1"/>
  </r>
  <r>
    <x v="820"/>
    <x v="159"/>
    <x v="12"/>
    <x v="2"/>
    <x v="2"/>
    <x v="3"/>
    <x v="13"/>
    <x v="3"/>
    <x v="11"/>
    <x v="0"/>
    <x v="1"/>
    <x v="5"/>
    <x v="2"/>
  </r>
  <r>
    <x v="821"/>
    <x v="118"/>
    <x v="7"/>
    <x v="2"/>
    <x v="7"/>
    <x v="4"/>
    <x v="30"/>
    <x v="11"/>
    <x v="9"/>
    <x v="2"/>
    <x v="0"/>
    <x v="1"/>
    <x v="1"/>
  </r>
  <r>
    <x v="822"/>
    <x v="132"/>
    <x v="9"/>
    <x v="6"/>
    <x v="9"/>
    <x v="1"/>
    <x v="17"/>
    <x v="12"/>
    <x v="4"/>
    <x v="2"/>
    <x v="0"/>
    <x v="5"/>
    <x v="0"/>
  </r>
  <r>
    <x v="823"/>
    <x v="65"/>
    <x v="9"/>
    <x v="6"/>
    <x v="9"/>
    <x v="2"/>
    <x v="55"/>
    <x v="4"/>
    <x v="9"/>
    <x v="0"/>
    <x v="0"/>
    <x v="2"/>
    <x v="4"/>
  </r>
  <r>
    <x v="824"/>
    <x v="71"/>
    <x v="14"/>
    <x v="2"/>
    <x v="13"/>
    <x v="3"/>
    <x v="42"/>
    <x v="1"/>
    <x v="0"/>
    <x v="0"/>
    <x v="0"/>
    <x v="4"/>
    <x v="5"/>
  </r>
  <r>
    <x v="825"/>
    <x v="110"/>
    <x v="13"/>
    <x v="2"/>
    <x v="12"/>
    <x v="4"/>
    <x v="26"/>
    <x v="5"/>
    <x v="5"/>
    <x v="1"/>
    <x v="0"/>
    <x v="3"/>
    <x v="4"/>
  </r>
  <r>
    <x v="826"/>
    <x v="59"/>
    <x v="4"/>
    <x v="3"/>
    <x v="4"/>
    <x v="1"/>
    <x v="6"/>
    <x v="10"/>
    <x v="6"/>
    <x v="2"/>
    <x v="0"/>
    <x v="3"/>
    <x v="6"/>
  </r>
  <r>
    <x v="827"/>
    <x v="175"/>
    <x v="9"/>
    <x v="6"/>
    <x v="9"/>
    <x v="3"/>
    <x v="12"/>
    <x v="4"/>
    <x v="11"/>
    <x v="3"/>
    <x v="2"/>
    <x v="1"/>
    <x v="0"/>
  </r>
  <r>
    <x v="828"/>
    <x v="9"/>
    <x v="11"/>
    <x v="6"/>
    <x v="11"/>
    <x v="1"/>
    <x v="20"/>
    <x v="13"/>
    <x v="5"/>
    <x v="1"/>
    <x v="0"/>
    <x v="0"/>
    <x v="4"/>
  </r>
  <r>
    <x v="829"/>
    <x v="132"/>
    <x v="5"/>
    <x v="4"/>
    <x v="5"/>
    <x v="4"/>
    <x v="58"/>
    <x v="6"/>
    <x v="3"/>
    <x v="1"/>
    <x v="0"/>
    <x v="5"/>
    <x v="0"/>
  </r>
  <r>
    <x v="830"/>
    <x v="96"/>
    <x v="5"/>
    <x v="4"/>
    <x v="5"/>
    <x v="2"/>
    <x v="53"/>
    <x v="13"/>
    <x v="0"/>
    <x v="2"/>
    <x v="0"/>
    <x v="4"/>
    <x v="1"/>
  </r>
  <r>
    <x v="831"/>
    <x v="135"/>
    <x v="14"/>
    <x v="2"/>
    <x v="13"/>
    <x v="3"/>
    <x v="42"/>
    <x v="10"/>
    <x v="6"/>
    <x v="1"/>
    <x v="0"/>
    <x v="3"/>
    <x v="3"/>
  </r>
  <r>
    <x v="832"/>
    <x v="63"/>
    <x v="14"/>
    <x v="2"/>
    <x v="13"/>
    <x v="1"/>
    <x v="66"/>
    <x v="0"/>
    <x v="9"/>
    <x v="2"/>
    <x v="1"/>
    <x v="5"/>
    <x v="4"/>
  </r>
  <r>
    <x v="833"/>
    <x v="75"/>
    <x v="13"/>
    <x v="2"/>
    <x v="12"/>
    <x v="1"/>
    <x v="24"/>
    <x v="4"/>
    <x v="6"/>
    <x v="0"/>
    <x v="0"/>
    <x v="4"/>
    <x v="0"/>
  </r>
  <r>
    <x v="834"/>
    <x v="29"/>
    <x v="9"/>
    <x v="6"/>
    <x v="9"/>
    <x v="1"/>
    <x v="17"/>
    <x v="3"/>
    <x v="0"/>
    <x v="3"/>
    <x v="0"/>
    <x v="1"/>
    <x v="6"/>
  </r>
  <r>
    <x v="835"/>
    <x v="20"/>
    <x v="4"/>
    <x v="3"/>
    <x v="4"/>
    <x v="3"/>
    <x v="49"/>
    <x v="2"/>
    <x v="1"/>
    <x v="4"/>
    <x v="2"/>
    <x v="4"/>
    <x v="1"/>
  </r>
  <r>
    <x v="836"/>
    <x v="142"/>
    <x v="6"/>
    <x v="5"/>
    <x v="6"/>
    <x v="3"/>
    <x v="39"/>
    <x v="2"/>
    <x v="7"/>
    <x v="4"/>
    <x v="0"/>
    <x v="4"/>
    <x v="5"/>
  </r>
  <r>
    <x v="837"/>
    <x v="24"/>
    <x v="11"/>
    <x v="6"/>
    <x v="11"/>
    <x v="2"/>
    <x v="68"/>
    <x v="12"/>
    <x v="4"/>
    <x v="3"/>
    <x v="0"/>
    <x v="0"/>
    <x v="5"/>
  </r>
  <r>
    <x v="838"/>
    <x v="133"/>
    <x v="6"/>
    <x v="5"/>
    <x v="6"/>
    <x v="3"/>
    <x v="39"/>
    <x v="2"/>
    <x v="5"/>
    <x v="2"/>
    <x v="2"/>
    <x v="2"/>
    <x v="1"/>
  </r>
  <r>
    <x v="839"/>
    <x v="42"/>
    <x v="6"/>
    <x v="5"/>
    <x v="6"/>
    <x v="0"/>
    <x v="9"/>
    <x v="8"/>
    <x v="11"/>
    <x v="4"/>
    <x v="0"/>
    <x v="0"/>
    <x v="6"/>
  </r>
  <r>
    <x v="840"/>
    <x v="113"/>
    <x v="2"/>
    <x v="2"/>
    <x v="2"/>
    <x v="4"/>
    <x v="38"/>
    <x v="9"/>
    <x v="5"/>
    <x v="2"/>
    <x v="0"/>
    <x v="5"/>
    <x v="6"/>
  </r>
  <r>
    <x v="841"/>
    <x v="111"/>
    <x v="10"/>
    <x v="7"/>
    <x v="10"/>
    <x v="2"/>
    <x v="22"/>
    <x v="7"/>
    <x v="5"/>
    <x v="0"/>
    <x v="2"/>
    <x v="5"/>
    <x v="3"/>
  </r>
  <r>
    <x v="842"/>
    <x v="154"/>
    <x v="1"/>
    <x v="1"/>
    <x v="1"/>
    <x v="0"/>
    <x v="1"/>
    <x v="12"/>
    <x v="9"/>
    <x v="2"/>
    <x v="0"/>
    <x v="1"/>
    <x v="4"/>
  </r>
  <r>
    <x v="843"/>
    <x v="128"/>
    <x v="13"/>
    <x v="2"/>
    <x v="12"/>
    <x v="3"/>
    <x v="23"/>
    <x v="4"/>
    <x v="11"/>
    <x v="4"/>
    <x v="2"/>
    <x v="0"/>
    <x v="0"/>
  </r>
  <r>
    <x v="844"/>
    <x v="143"/>
    <x v="0"/>
    <x v="0"/>
    <x v="0"/>
    <x v="4"/>
    <x v="45"/>
    <x v="10"/>
    <x v="6"/>
    <x v="0"/>
    <x v="0"/>
    <x v="0"/>
    <x v="4"/>
  </r>
  <r>
    <x v="845"/>
    <x v="87"/>
    <x v="14"/>
    <x v="2"/>
    <x v="13"/>
    <x v="2"/>
    <x v="32"/>
    <x v="5"/>
    <x v="5"/>
    <x v="2"/>
    <x v="2"/>
    <x v="5"/>
    <x v="4"/>
  </r>
  <r>
    <x v="846"/>
    <x v="50"/>
    <x v="4"/>
    <x v="3"/>
    <x v="4"/>
    <x v="0"/>
    <x v="31"/>
    <x v="8"/>
    <x v="1"/>
    <x v="4"/>
    <x v="0"/>
    <x v="4"/>
    <x v="0"/>
  </r>
  <r>
    <x v="847"/>
    <x v="72"/>
    <x v="3"/>
    <x v="2"/>
    <x v="3"/>
    <x v="0"/>
    <x v="18"/>
    <x v="7"/>
    <x v="0"/>
    <x v="3"/>
    <x v="0"/>
    <x v="4"/>
    <x v="1"/>
  </r>
  <r>
    <x v="848"/>
    <x v="125"/>
    <x v="11"/>
    <x v="6"/>
    <x v="11"/>
    <x v="2"/>
    <x v="68"/>
    <x v="14"/>
    <x v="1"/>
    <x v="1"/>
    <x v="0"/>
    <x v="1"/>
    <x v="1"/>
  </r>
  <r>
    <x v="849"/>
    <x v="70"/>
    <x v="1"/>
    <x v="1"/>
    <x v="1"/>
    <x v="1"/>
    <x v="4"/>
    <x v="14"/>
    <x v="1"/>
    <x v="4"/>
    <x v="2"/>
    <x v="5"/>
    <x v="6"/>
  </r>
  <r>
    <x v="850"/>
    <x v="1"/>
    <x v="10"/>
    <x v="7"/>
    <x v="10"/>
    <x v="3"/>
    <x v="14"/>
    <x v="9"/>
    <x v="3"/>
    <x v="4"/>
    <x v="0"/>
    <x v="1"/>
    <x v="1"/>
  </r>
  <r>
    <x v="851"/>
    <x v="49"/>
    <x v="3"/>
    <x v="2"/>
    <x v="3"/>
    <x v="2"/>
    <x v="3"/>
    <x v="10"/>
    <x v="8"/>
    <x v="4"/>
    <x v="0"/>
    <x v="1"/>
    <x v="4"/>
  </r>
  <r>
    <x v="852"/>
    <x v="66"/>
    <x v="2"/>
    <x v="2"/>
    <x v="2"/>
    <x v="1"/>
    <x v="2"/>
    <x v="11"/>
    <x v="0"/>
    <x v="2"/>
    <x v="2"/>
    <x v="4"/>
    <x v="2"/>
  </r>
  <r>
    <x v="853"/>
    <x v="62"/>
    <x v="10"/>
    <x v="7"/>
    <x v="10"/>
    <x v="3"/>
    <x v="14"/>
    <x v="13"/>
    <x v="5"/>
    <x v="4"/>
    <x v="0"/>
    <x v="4"/>
    <x v="3"/>
  </r>
  <r>
    <x v="854"/>
    <x v="14"/>
    <x v="10"/>
    <x v="7"/>
    <x v="10"/>
    <x v="2"/>
    <x v="22"/>
    <x v="1"/>
    <x v="0"/>
    <x v="2"/>
    <x v="0"/>
    <x v="4"/>
    <x v="3"/>
  </r>
  <r>
    <x v="855"/>
    <x v="144"/>
    <x v="13"/>
    <x v="2"/>
    <x v="12"/>
    <x v="2"/>
    <x v="25"/>
    <x v="10"/>
    <x v="3"/>
    <x v="2"/>
    <x v="2"/>
    <x v="2"/>
    <x v="5"/>
  </r>
  <r>
    <x v="856"/>
    <x v="90"/>
    <x v="5"/>
    <x v="4"/>
    <x v="5"/>
    <x v="3"/>
    <x v="67"/>
    <x v="14"/>
    <x v="10"/>
    <x v="0"/>
    <x v="2"/>
    <x v="3"/>
    <x v="5"/>
  </r>
  <r>
    <x v="857"/>
    <x v="109"/>
    <x v="5"/>
    <x v="4"/>
    <x v="5"/>
    <x v="4"/>
    <x v="58"/>
    <x v="5"/>
    <x v="3"/>
    <x v="3"/>
    <x v="0"/>
    <x v="5"/>
    <x v="1"/>
  </r>
  <r>
    <x v="858"/>
    <x v="68"/>
    <x v="14"/>
    <x v="2"/>
    <x v="13"/>
    <x v="4"/>
    <x v="35"/>
    <x v="11"/>
    <x v="8"/>
    <x v="4"/>
    <x v="0"/>
    <x v="4"/>
    <x v="4"/>
  </r>
  <r>
    <x v="859"/>
    <x v="64"/>
    <x v="5"/>
    <x v="4"/>
    <x v="5"/>
    <x v="3"/>
    <x v="67"/>
    <x v="4"/>
    <x v="6"/>
    <x v="2"/>
    <x v="0"/>
    <x v="0"/>
    <x v="3"/>
  </r>
  <r>
    <x v="860"/>
    <x v="141"/>
    <x v="3"/>
    <x v="2"/>
    <x v="3"/>
    <x v="3"/>
    <x v="41"/>
    <x v="0"/>
    <x v="6"/>
    <x v="3"/>
    <x v="2"/>
    <x v="0"/>
    <x v="0"/>
  </r>
  <r>
    <x v="861"/>
    <x v="29"/>
    <x v="7"/>
    <x v="2"/>
    <x v="7"/>
    <x v="4"/>
    <x v="30"/>
    <x v="10"/>
    <x v="2"/>
    <x v="0"/>
    <x v="0"/>
    <x v="1"/>
    <x v="6"/>
  </r>
  <r>
    <x v="862"/>
    <x v="117"/>
    <x v="1"/>
    <x v="1"/>
    <x v="1"/>
    <x v="1"/>
    <x v="4"/>
    <x v="12"/>
    <x v="6"/>
    <x v="4"/>
    <x v="0"/>
    <x v="1"/>
    <x v="1"/>
  </r>
  <r>
    <x v="863"/>
    <x v="164"/>
    <x v="1"/>
    <x v="1"/>
    <x v="1"/>
    <x v="1"/>
    <x v="4"/>
    <x v="3"/>
    <x v="5"/>
    <x v="2"/>
    <x v="0"/>
    <x v="4"/>
    <x v="1"/>
  </r>
  <r>
    <x v="864"/>
    <x v="72"/>
    <x v="8"/>
    <x v="3"/>
    <x v="8"/>
    <x v="1"/>
    <x v="69"/>
    <x v="6"/>
    <x v="3"/>
    <x v="2"/>
    <x v="2"/>
    <x v="4"/>
    <x v="1"/>
  </r>
  <r>
    <x v="865"/>
    <x v="55"/>
    <x v="13"/>
    <x v="2"/>
    <x v="12"/>
    <x v="3"/>
    <x v="23"/>
    <x v="7"/>
    <x v="0"/>
    <x v="4"/>
    <x v="0"/>
    <x v="2"/>
    <x v="4"/>
  </r>
  <r>
    <x v="866"/>
    <x v="11"/>
    <x v="8"/>
    <x v="3"/>
    <x v="8"/>
    <x v="2"/>
    <x v="40"/>
    <x v="5"/>
    <x v="11"/>
    <x v="2"/>
    <x v="2"/>
    <x v="0"/>
    <x v="3"/>
  </r>
  <r>
    <x v="867"/>
    <x v="176"/>
    <x v="13"/>
    <x v="2"/>
    <x v="12"/>
    <x v="1"/>
    <x v="24"/>
    <x v="13"/>
    <x v="2"/>
    <x v="0"/>
    <x v="0"/>
    <x v="5"/>
    <x v="2"/>
  </r>
  <r>
    <x v="868"/>
    <x v="150"/>
    <x v="2"/>
    <x v="2"/>
    <x v="2"/>
    <x v="3"/>
    <x v="13"/>
    <x v="13"/>
    <x v="7"/>
    <x v="1"/>
    <x v="0"/>
    <x v="4"/>
    <x v="3"/>
  </r>
  <r>
    <x v="869"/>
    <x v="27"/>
    <x v="7"/>
    <x v="2"/>
    <x v="7"/>
    <x v="4"/>
    <x v="30"/>
    <x v="9"/>
    <x v="10"/>
    <x v="3"/>
    <x v="0"/>
    <x v="3"/>
    <x v="0"/>
  </r>
  <r>
    <x v="870"/>
    <x v="52"/>
    <x v="7"/>
    <x v="2"/>
    <x v="7"/>
    <x v="4"/>
    <x v="30"/>
    <x v="6"/>
    <x v="3"/>
    <x v="2"/>
    <x v="0"/>
    <x v="4"/>
    <x v="2"/>
  </r>
  <r>
    <x v="871"/>
    <x v="162"/>
    <x v="1"/>
    <x v="1"/>
    <x v="1"/>
    <x v="0"/>
    <x v="1"/>
    <x v="12"/>
    <x v="10"/>
    <x v="2"/>
    <x v="2"/>
    <x v="1"/>
    <x v="2"/>
  </r>
  <r>
    <x v="872"/>
    <x v="93"/>
    <x v="10"/>
    <x v="7"/>
    <x v="10"/>
    <x v="2"/>
    <x v="22"/>
    <x v="11"/>
    <x v="9"/>
    <x v="4"/>
    <x v="0"/>
    <x v="0"/>
    <x v="4"/>
  </r>
  <r>
    <x v="873"/>
    <x v="158"/>
    <x v="9"/>
    <x v="6"/>
    <x v="9"/>
    <x v="2"/>
    <x v="55"/>
    <x v="6"/>
    <x v="11"/>
    <x v="0"/>
    <x v="0"/>
    <x v="1"/>
    <x v="0"/>
  </r>
  <r>
    <x v="874"/>
    <x v="9"/>
    <x v="8"/>
    <x v="3"/>
    <x v="8"/>
    <x v="1"/>
    <x v="69"/>
    <x v="10"/>
    <x v="2"/>
    <x v="0"/>
    <x v="0"/>
    <x v="0"/>
    <x v="4"/>
  </r>
  <r>
    <x v="875"/>
    <x v="72"/>
    <x v="10"/>
    <x v="7"/>
    <x v="10"/>
    <x v="0"/>
    <x v="33"/>
    <x v="5"/>
    <x v="7"/>
    <x v="1"/>
    <x v="0"/>
    <x v="4"/>
    <x v="1"/>
  </r>
  <r>
    <x v="876"/>
    <x v="175"/>
    <x v="8"/>
    <x v="3"/>
    <x v="8"/>
    <x v="3"/>
    <x v="60"/>
    <x v="7"/>
    <x v="9"/>
    <x v="0"/>
    <x v="0"/>
    <x v="1"/>
    <x v="0"/>
  </r>
  <r>
    <x v="877"/>
    <x v="107"/>
    <x v="13"/>
    <x v="2"/>
    <x v="12"/>
    <x v="1"/>
    <x v="24"/>
    <x v="10"/>
    <x v="1"/>
    <x v="3"/>
    <x v="0"/>
    <x v="3"/>
    <x v="2"/>
  </r>
  <r>
    <x v="878"/>
    <x v="177"/>
    <x v="13"/>
    <x v="2"/>
    <x v="12"/>
    <x v="4"/>
    <x v="26"/>
    <x v="12"/>
    <x v="0"/>
    <x v="3"/>
    <x v="0"/>
    <x v="1"/>
    <x v="3"/>
  </r>
  <r>
    <x v="879"/>
    <x v="64"/>
    <x v="6"/>
    <x v="5"/>
    <x v="6"/>
    <x v="3"/>
    <x v="39"/>
    <x v="6"/>
    <x v="9"/>
    <x v="1"/>
    <x v="0"/>
    <x v="0"/>
    <x v="3"/>
  </r>
  <r>
    <x v="880"/>
    <x v="168"/>
    <x v="11"/>
    <x v="6"/>
    <x v="11"/>
    <x v="4"/>
    <x v="29"/>
    <x v="8"/>
    <x v="2"/>
    <x v="0"/>
    <x v="0"/>
    <x v="0"/>
    <x v="1"/>
  </r>
  <r>
    <x v="881"/>
    <x v="20"/>
    <x v="0"/>
    <x v="0"/>
    <x v="0"/>
    <x v="1"/>
    <x v="56"/>
    <x v="12"/>
    <x v="10"/>
    <x v="4"/>
    <x v="0"/>
    <x v="4"/>
    <x v="1"/>
  </r>
  <r>
    <x v="882"/>
    <x v="153"/>
    <x v="1"/>
    <x v="1"/>
    <x v="1"/>
    <x v="2"/>
    <x v="52"/>
    <x v="9"/>
    <x v="1"/>
    <x v="3"/>
    <x v="0"/>
    <x v="4"/>
    <x v="2"/>
  </r>
  <r>
    <x v="883"/>
    <x v="49"/>
    <x v="11"/>
    <x v="6"/>
    <x v="11"/>
    <x v="3"/>
    <x v="28"/>
    <x v="9"/>
    <x v="0"/>
    <x v="3"/>
    <x v="0"/>
    <x v="1"/>
    <x v="4"/>
  </r>
  <r>
    <x v="884"/>
    <x v="89"/>
    <x v="4"/>
    <x v="3"/>
    <x v="4"/>
    <x v="0"/>
    <x v="31"/>
    <x v="5"/>
    <x v="9"/>
    <x v="3"/>
    <x v="0"/>
    <x v="5"/>
    <x v="2"/>
  </r>
  <r>
    <x v="885"/>
    <x v="71"/>
    <x v="2"/>
    <x v="2"/>
    <x v="2"/>
    <x v="0"/>
    <x v="5"/>
    <x v="10"/>
    <x v="7"/>
    <x v="3"/>
    <x v="2"/>
    <x v="4"/>
    <x v="5"/>
  </r>
  <r>
    <x v="886"/>
    <x v="52"/>
    <x v="1"/>
    <x v="1"/>
    <x v="1"/>
    <x v="4"/>
    <x v="21"/>
    <x v="7"/>
    <x v="8"/>
    <x v="3"/>
    <x v="0"/>
    <x v="4"/>
    <x v="2"/>
  </r>
  <r>
    <x v="887"/>
    <x v="21"/>
    <x v="8"/>
    <x v="3"/>
    <x v="8"/>
    <x v="4"/>
    <x v="50"/>
    <x v="12"/>
    <x v="3"/>
    <x v="1"/>
    <x v="2"/>
    <x v="1"/>
    <x v="4"/>
  </r>
  <r>
    <x v="888"/>
    <x v="111"/>
    <x v="12"/>
    <x v="2"/>
    <x v="2"/>
    <x v="4"/>
    <x v="38"/>
    <x v="11"/>
    <x v="6"/>
    <x v="2"/>
    <x v="1"/>
    <x v="5"/>
    <x v="3"/>
  </r>
  <r>
    <x v="889"/>
    <x v="151"/>
    <x v="9"/>
    <x v="6"/>
    <x v="9"/>
    <x v="2"/>
    <x v="55"/>
    <x v="9"/>
    <x v="0"/>
    <x v="2"/>
    <x v="2"/>
    <x v="5"/>
    <x v="6"/>
  </r>
  <r>
    <x v="890"/>
    <x v="115"/>
    <x v="11"/>
    <x v="6"/>
    <x v="11"/>
    <x v="3"/>
    <x v="28"/>
    <x v="14"/>
    <x v="1"/>
    <x v="3"/>
    <x v="0"/>
    <x v="2"/>
    <x v="3"/>
  </r>
  <r>
    <x v="891"/>
    <x v="8"/>
    <x v="11"/>
    <x v="6"/>
    <x v="11"/>
    <x v="1"/>
    <x v="20"/>
    <x v="10"/>
    <x v="3"/>
    <x v="2"/>
    <x v="0"/>
    <x v="2"/>
    <x v="5"/>
  </r>
  <r>
    <x v="892"/>
    <x v="71"/>
    <x v="10"/>
    <x v="7"/>
    <x v="10"/>
    <x v="1"/>
    <x v="59"/>
    <x v="6"/>
    <x v="1"/>
    <x v="3"/>
    <x v="1"/>
    <x v="4"/>
    <x v="5"/>
  </r>
  <r>
    <x v="893"/>
    <x v="162"/>
    <x v="9"/>
    <x v="6"/>
    <x v="9"/>
    <x v="1"/>
    <x v="17"/>
    <x v="10"/>
    <x v="1"/>
    <x v="3"/>
    <x v="0"/>
    <x v="1"/>
    <x v="2"/>
  </r>
  <r>
    <x v="894"/>
    <x v="46"/>
    <x v="3"/>
    <x v="2"/>
    <x v="3"/>
    <x v="4"/>
    <x v="63"/>
    <x v="2"/>
    <x v="7"/>
    <x v="3"/>
    <x v="1"/>
    <x v="5"/>
    <x v="3"/>
  </r>
  <r>
    <x v="895"/>
    <x v="136"/>
    <x v="9"/>
    <x v="6"/>
    <x v="9"/>
    <x v="4"/>
    <x v="57"/>
    <x v="10"/>
    <x v="5"/>
    <x v="1"/>
    <x v="0"/>
    <x v="3"/>
    <x v="1"/>
  </r>
  <r>
    <x v="896"/>
    <x v="109"/>
    <x v="6"/>
    <x v="5"/>
    <x v="6"/>
    <x v="2"/>
    <x v="51"/>
    <x v="9"/>
    <x v="10"/>
    <x v="3"/>
    <x v="0"/>
    <x v="5"/>
    <x v="1"/>
  </r>
  <r>
    <x v="897"/>
    <x v="65"/>
    <x v="8"/>
    <x v="3"/>
    <x v="8"/>
    <x v="2"/>
    <x v="40"/>
    <x v="6"/>
    <x v="10"/>
    <x v="4"/>
    <x v="2"/>
    <x v="2"/>
    <x v="4"/>
  </r>
  <r>
    <x v="898"/>
    <x v="79"/>
    <x v="14"/>
    <x v="2"/>
    <x v="13"/>
    <x v="4"/>
    <x v="35"/>
    <x v="6"/>
    <x v="8"/>
    <x v="1"/>
    <x v="0"/>
    <x v="4"/>
    <x v="6"/>
  </r>
  <r>
    <x v="899"/>
    <x v="53"/>
    <x v="7"/>
    <x v="2"/>
    <x v="7"/>
    <x v="3"/>
    <x v="44"/>
    <x v="1"/>
    <x v="7"/>
    <x v="1"/>
    <x v="1"/>
    <x v="3"/>
    <x v="3"/>
  </r>
  <r>
    <x v="900"/>
    <x v="56"/>
    <x v="10"/>
    <x v="7"/>
    <x v="10"/>
    <x v="3"/>
    <x v="14"/>
    <x v="7"/>
    <x v="7"/>
    <x v="3"/>
    <x v="0"/>
    <x v="0"/>
    <x v="5"/>
  </r>
  <r>
    <x v="901"/>
    <x v="45"/>
    <x v="10"/>
    <x v="7"/>
    <x v="10"/>
    <x v="0"/>
    <x v="33"/>
    <x v="11"/>
    <x v="7"/>
    <x v="4"/>
    <x v="0"/>
    <x v="0"/>
    <x v="1"/>
  </r>
  <r>
    <x v="902"/>
    <x v="92"/>
    <x v="14"/>
    <x v="2"/>
    <x v="13"/>
    <x v="4"/>
    <x v="35"/>
    <x v="0"/>
    <x v="9"/>
    <x v="1"/>
    <x v="0"/>
    <x v="0"/>
    <x v="2"/>
  </r>
  <r>
    <x v="903"/>
    <x v="170"/>
    <x v="13"/>
    <x v="2"/>
    <x v="12"/>
    <x v="1"/>
    <x v="24"/>
    <x v="11"/>
    <x v="0"/>
    <x v="4"/>
    <x v="0"/>
    <x v="2"/>
    <x v="6"/>
  </r>
  <r>
    <x v="904"/>
    <x v="132"/>
    <x v="7"/>
    <x v="2"/>
    <x v="7"/>
    <x v="4"/>
    <x v="30"/>
    <x v="14"/>
    <x v="5"/>
    <x v="1"/>
    <x v="0"/>
    <x v="5"/>
    <x v="0"/>
  </r>
  <r>
    <x v="905"/>
    <x v="89"/>
    <x v="9"/>
    <x v="6"/>
    <x v="9"/>
    <x v="3"/>
    <x v="12"/>
    <x v="10"/>
    <x v="10"/>
    <x v="4"/>
    <x v="0"/>
    <x v="5"/>
    <x v="2"/>
  </r>
  <r>
    <x v="906"/>
    <x v="5"/>
    <x v="12"/>
    <x v="2"/>
    <x v="2"/>
    <x v="2"/>
    <x v="8"/>
    <x v="9"/>
    <x v="7"/>
    <x v="2"/>
    <x v="0"/>
    <x v="2"/>
    <x v="3"/>
  </r>
  <r>
    <x v="907"/>
    <x v="169"/>
    <x v="1"/>
    <x v="1"/>
    <x v="1"/>
    <x v="0"/>
    <x v="1"/>
    <x v="12"/>
    <x v="5"/>
    <x v="4"/>
    <x v="0"/>
    <x v="0"/>
    <x v="1"/>
  </r>
  <r>
    <x v="908"/>
    <x v="100"/>
    <x v="6"/>
    <x v="5"/>
    <x v="6"/>
    <x v="2"/>
    <x v="51"/>
    <x v="6"/>
    <x v="11"/>
    <x v="1"/>
    <x v="0"/>
    <x v="2"/>
    <x v="3"/>
  </r>
  <r>
    <x v="909"/>
    <x v="164"/>
    <x v="2"/>
    <x v="2"/>
    <x v="2"/>
    <x v="2"/>
    <x v="8"/>
    <x v="6"/>
    <x v="5"/>
    <x v="0"/>
    <x v="0"/>
    <x v="4"/>
    <x v="1"/>
  </r>
  <r>
    <x v="910"/>
    <x v="127"/>
    <x v="7"/>
    <x v="2"/>
    <x v="7"/>
    <x v="4"/>
    <x v="30"/>
    <x v="4"/>
    <x v="2"/>
    <x v="0"/>
    <x v="0"/>
    <x v="2"/>
    <x v="4"/>
  </r>
  <r>
    <x v="911"/>
    <x v="96"/>
    <x v="2"/>
    <x v="2"/>
    <x v="2"/>
    <x v="1"/>
    <x v="2"/>
    <x v="3"/>
    <x v="2"/>
    <x v="4"/>
    <x v="1"/>
    <x v="4"/>
    <x v="1"/>
  </r>
  <r>
    <x v="912"/>
    <x v="174"/>
    <x v="13"/>
    <x v="2"/>
    <x v="12"/>
    <x v="2"/>
    <x v="25"/>
    <x v="14"/>
    <x v="7"/>
    <x v="3"/>
    <x v="0"/>
    <x v="3"/>
    <x v="6"/>
  </r>
  <r>
    <x v="913"/>
    <x v="64"/>
    <x v="2"/>
    <x v="2"/>
    <x v="2"/>
    <x v="2"/>
    <x v="8"/>
    <x v="8"/>
    <x v="10"/>
    <x v="4"/>
    <x v="0"/>
    <x v="0"/>
    <x v="3"/>
  </r>
  <r>
    <x v="914"/>
    <x v="62"/>
    <x v="13"/>
    <x v="2"/>
    <x v="12"/>
    <x v="3"/>
    <x v="23"/>
    <x v="13"/>
    <x v="3"/>
    <x v="3"/>
    <x v="0"/>
    <x v="4"/>
    <x v="3"/>
  </r>
  <r>
    <x v="915"/>
    <x v="98"/>
    <x v="2"/>
    <x v="2"/>
    <x v="2"/>
    <x v="4"/>
    <x v="38"/>
    <x v="0"/>
    <x v="6"/>
    <x v="4"/>
    <x v="0"/>
    <x v="5"/>
    <x v="5"/>
  </r>
  <r>
    <x v="916"/>
    <x v="168"/>
    <x v="4"/>
    <x v="3"/>
    <x v="4"/>
    <x v="2"/>
    <x v="37"/>
    <x v="6"/>
    <x v="1"/>
    <x v="0"/>
    <x v="0"/>
    <x v="0"/>
    <x v="1"/>
  </r>
  <r>
    <x v="917"/>
    <x v="125"/>
    <x v="4"/>
    <x v="3"/>
    <x v="4"/>
    <x v="3"/>
    <x v="49"/>
    <x v="10"/>
    <x v="2"/>
    <x v="0"/>
    <x v="0"/>
    <x v="1"/>
    <x v="1"/>
  </r>
  <r>
    <x v="918"/>
    <x v="19"/>
    <x v="7"/>
    <x v="2"/>
    <x v="7"/>
    <x v="4"/>
    <x v="30"/>
    <x v="3"/>
    <x v="10"/>
    <x v="2"/>
    <x v="2"/>
    <x v="2"/>
    <x v="5"/>
  </r>
  <r>
    <x v="919"/>
    <x v="75"/>
    <x v="4"/>
    <x v="3"/>
    <x v="4"/>
    <x v="1"/>
    <x v="6"/>
    <x v="4"/>
    <x v="10"/>
    <x v="4"/>
    <x v="2"/>
    <x v="4"/>
    <x v="0"/>
  </r>
  <r>
    <x v="920"/>
    <x v="10"/>
    <x v="14"/>
    <x v="2"/>
    <x v="13"/>
    <x v="0"/>
    <x v="64"/>
    <x v="4"/>
    <x v="5"/>
    <x v="0"/>
    <x v="2"/>
    <x v="4"/>
    <x v="0"/>
  </r>
  <r>
    <x v="921"/>
    <x v="9"/>
    <x v="3"/>
    <x v="2"/>
    <x v="3"/>
    <x v="0"/>
    <x v="18"/>
    <x v="12"/>
    <x v="5"/>
    <x v="0"/>
    <x v="0"/>
    <x v="0"/>
    <x v="4"/>
  </r>
  <r>
    <x v="922"/>
    <x v="47"/>
    <x v="7"/>
    <x v="2"/>
    <x v="7"/>
    <x v="4"/>
    <x v="30"/>
    <x v="2"/>
    <x v="5"/>
    <x v="0"/>
    <x v="0"/>
    <x v="2"/>
    <x v="0"/>
  </r>
  <r>
    <x v="923"/>
    <x v="89"/>
    <x v="8"/>
    <x v="3"/>
    <x v="8"/>
    <x v="1"/>
    <x v="69"/>
    <x v="0"/>
    <x v="7"/>
    <x v="0"/>
    <x v="0"/>
    <x v="5"/>
    <x v="2"/>
  </r>
  <r>
    <x v="924"/>
    <x v="23"/>
    <x v="2"/>
    <x v="2"/>
    <x v="2"/>
    <x v="1"/>
    <x v="2"/>
    <x v="14"/>
    <x v="1"/>
    <x v="3"/>
    <x v="2"/>
    <x v="3"/>
    <x v="1"/>
  </r>
  <r>
    <x v="925"/>
    <x v="32"/>
    <x v="1"/>
    <x v="1"/>
    <x v="1"/>
    <x v="3"/>
    <x v="46"/>
    <x v="4"/>
    <x v="2"/>
    <x v="4"/>
    <x v="2"/>
    <x v="2"/>
    <x v="1"/>
  </r>
  <r>
    <x v="926"/>
    <x v="58"/>
    <x v="2"/>
    <x v="2"/>
    <x v="2"/>
    <x v="3"/>
    <x v="13"/>
    <x v="13"/>
    <x v="10"/>
    <x v="0"/>
    <x v="1"/>
    <x v="3"/>
    <x v="1"/>
  </r>
  <r>
    <x v="927"/>
    <x v="20"/>
    <x v="12"/>
    <x v="2"/>
    <x v="2"/>
    <x v="1"/>
    <x v="2"/>
    <x v="8"/>
    <x v="1"/>
    <x v="1"/>
    <x v="2"/>
    <x v="4"/>
    <x v="1"/>
  </r>
  <r>
    <x v="928"/>
    <x v="147"/>
    <x v="9"/>
    <x v="6"/>
    <x v="9"/>
    <x v="2"/>
    <x v="55"/>
    <x v="13"/>
    <x v="3"/>
    <x v="4"/>
    <x v="0"/>
    <x v="4"/>
    <x v="4"/>
  </r>
  <r>
    <x v="929"/>
    <x v="1"/>
    <x v="7"/>
    <x v="2"/>
    <x v="7"/>
    <x v="3"/>
    <x v="44"/>
    <x v="10"/>
    <x v="1"/>
    <x v="0"/>
    <x v="0"/>
    <x v="1"/>
    <x v="1"/>
  </r>
  <r>
    <x v="930"/>
    <x v="142"/>
    <x v="1"/>
    <x v="1"/>
    <x v="1"/>
    <x v="2"/>
    <x v="52"/>
    <x v="6"/>
    <x v="2"/>
    <x v="4"/>
    <x v="0"/>
    <x v="4"/>
    <x v="5"/>
  </r>
  <r>
    <x v="931"/>
    <x v="157"/>
    <x v="0"/>
    <x v="0"/>
    <x v="0"/>
    <x v="4"/>
    <x v="45"/>
    <x v="3"/>
    <x v="10"/>
    <x v="1"/>
    <x v="2"/>
    <x v="1"/>
    <x v="4"/>
  </r>
  <r>
    <x v="932"/>
    <x v="119"/>
    <x v="1"/>
    <x v="1"/>
    <x v="1"/>
    <x v="2"/>
    <x v="52"/>
    <x v="6"/>
    <x v="3"/>
    <x v="0"/>
    <x v="2"/>
    <x v="0"/>
    <x v="0"/>
  </r>
  <r>
    <x v="933"/>
    <x v="126"/>
    <x v="13"/>
    <x v="2"/>
    <x v="12"/>
    <x v="0"/>
    <x v="65"/>
    <x v="11"/>
    <x v="10"/>
    <x v="3"/>
    <x v="0"/>
    <x v="5"/>
    <x v="3"/>
  </r>
  <r>
    <x v="934"/>
    <x v="60"/>
    <x v="4"/>
    <x v="3"/>
    <x v="4"/>
    <x v="4"/>
    <x v="61"/>
    <x v="8"/>
    <x v="6"/>
    <x v="0"/>
    <x v="2"/>
    <x v="0"/>
    <x v="1"/>
  </r>
  <r>
    <x v="935"/>
    <x v="73"/>
    <x v="11"/>
    <x v="6"/>
    <x v="11"/>
    <x v="4"/>
    <x v="29"/>
    <x v="4"/>
    <x v="6"/>
    <x v="0"/>
    <x v="0"/>
    <x v="3"/>
    <x v="2"/>
  </r>
  <r>
    <x v="936"/>
    <x v="177"/>
    <x v="1"/>
    <x v="1"/>
    <x v="1"/>
    <x v="1"/>
    <x v="4"/>
    <x v="2"/>
    <x v="9"/>
    <x v="0"/>
    <x v="0"/>
    <x v="1"/>
    <x v="3"/>
  </r>
  <r>
    <x v="937"/>
    <x v="178"/>
    <x v="5"/>
    <x v="4"/>
    <x v="5"/>
    <x v="4"/>
    <x v="58"/>
    <x v="13"/>
    <x v="0"/>
    <x v="4"/>
    <x v="0"/>
    <x v="4"/>
    <x v="5"/>
  </r>
  <r>
    <x v="938"/>
    <x v="14"/>
    <x v="6"/>
    <x v="5"/>
    <x v="6"/>
    <x v="3"/>
    <x v="39"/>
    <x v="3"/>
    <x v="2"/>
    <x v="2"/>
    <x v="0"/>
    <x v="4"/>
    <x v="3"/>
  </r>
  <r>
    <x v="939"/>
    <x v="146"/>
    <x v="10"/>
    <x v="7"/>
    <x v="10"/>
    <x v="2"/>
    <x v="22"/>
    <x v="5"/>
    <x v="1"/>
    <x v="2"/>
    <x v="1"/>
    <x v="3"/>
    <x v="0"/>
  </r>
  <r>
    <x v="940"/>
    <x v="59"/>
    <x v="8"/>
    <x v="3"/>
    <x v="8"/>
    <x v="4"/>
    <x v="50"/>
    <x v="13"/>
    <x v="4"/>
    <x v="1"/>
    <x v="0"/>
    <x v="3"/>
    <x v="6"/>
  </r>
  <r>
    <x v="941"/>
    <x v="107"/>
    <x v="14"/>
    <x v="2"/>
    <x v="13"/>
    <x v="2"/>
    <x v="32"/>
    <x v="14"/>
    <x v="11"/>
    <x v="2"/>
    <x v="0"/>
    <x v="3"/>
    <x v="2"/>
  </r>
  <r>
    <x v="942"/>
    <x v="20"/>
    <x v="2"/>
    <x v="2"/>
    <x v="2"/>
    <x v="1"/>
    <x v="2"/>
    <x v="14"/>
    <x v="1"/>
    <x v="0"/>
    <x v="2"/>
    <x v="4"/>
    <x v="1"/>
  </r>
  <r>
    <x v="943"/>
    <x v="107"/>
    <x v="5"/>
    <x v="4"/>
    <x v="5"/>
    <x v="2"/>
    <x v="53"/>
    <x v="11"/>
    <x v="0"/>
    <x v="4"/>
    <x v="0"/>
    <x v="3"/>
    <x v="2"/>
  </r>
  <r>
    <x v="944"/>
    <x v="121"/>
    <x v="14"/>
    <x v="2"/>
    <x v="13"/>
    <x v="3"/>
    <x v="42"/>
    <x v="7"/>
    <x v="2"/>
    <x v="3"/>
    <x v="0"/>
    <x v="1"/>
    <x v="6"/>
  </r>
  <r>
    <x v="945"/>
    <x v="170"/>
    <x v="11"/>
    <x v="6"/>
    <x v="11"/>
    <x v="3"/>
    <x v="28"/>
    <x v="0"/>
    <x v="9"/>
    <x v="2"/>
    <x v="0"/>
    <x v="2"/>
    <x v="6"/>
  </r>
  <r>
    <x v="946"/>
    <x v="26"/>
    <x v="1"/>
    <x v="1"/>
    <x v="1"/>
    <x v="1"/>
    <x v="4"/>
    <x v="14"/>
    <x v="0"/>
    <x v="2"/>
    <x v="0"/>
    <x v="4"/>
    <x v="5"/>
  </r>
  <r>
    <x v="947"/>
    <x v="71"/>
    <x v="12"/>
    <x v="2"/>
    <x v="2"/>
    <x v="2"/>
    <x v="8"/>
    <x v="10"/>
    <x v="4"/>
    <x v="3"/>
    <x v="1"/>
    <x v="4"/>
    <x v="5"/>
  </r>
  <r>
    <x v="948"/>
    <x v="25"/>
    <x v="7"/>
    <x v="2"/>
    <x v="7"/>
    <x v="4"/>
    <x v="30"/>
    <x v="2"/>
    <x v="10"/>
    <x v="0"/>
    <x v="0"/>
    <x v="3"/>
    <x v="4"/>
  </r>
  <r>
    <x v="949"/>
    <x v="4"/>
    <x v="14"/>
    <x v="2"/>
    <x v="13"/>
    <x v="3"/>
    <x v="42"/>
    <x v="14"/>
    <x v="4"/>
    <x v="1"/>
    <x v="1"/>
    <x v="2"/>
    <x v="1"/>
  </r>
  <r>
    <x v="950"/>
    <x v="132"/>
    <x v="3"/>
    <x v="2"/>
    <x v="3"/>
    <x v="0"/>
    <x v="18"/>
    <x v="6"/>
    <x v="2"/>
    <x v="3"/>
    <x v="0"/>
    <x v="5"/>
    <x v="0"/>
  </r>
  <r>
    <x v="951"/>
    <x v="12"/>
    <x v="14"/>
    <x v="2"/>
    <x v="13"/>
    <x v="0"/>
    <x v="64"/>
    <x v="0"/>
    <x v="11"/>
    <x v="0"/>
    <x v="0"/>
    <x v="5"/>
    <x v="0"/>
  </r>
  <r>
    <x v="952"/>
    <x v="91"/>
    <x v="8"/>
    <x v="3"/>
    <x v="8"/>
    <x v="2"/>
    <x v="40"/>
    <x v="8"/>
    <x v="3"/>
    <x v="2"/>
    <x v="0"/>
    <x v="0"/>
    <x v="2"/>
  </r>
  <r>
    <x v="953"/>
    <x v="35"/>
    <x v="2"/>
    <x v="2"/>
    <x v="2"/>
    <x v="1"/>
    <x v="2"/>
    <x v="2"/>
    <x v="7"/>
    <x v="1"/>
    <x v="0"/>
    <x v="2"/>
    <x v="2"/>
  </r>
  <r>
    <x v="954"/>
    <x v="51"/>
    <x v="4"/>
    <x v="3"/>
    <x v="4"/>
    <x v="4"/>
    <x v="61"/>
    <x v="12"/>
    <x v="6"/>
    <x v="2"/>
    <x v="2"/>
    <x v="3"/>
    <x v="0"/>
  </r>
  <r>
    <x v="955"/>
    <x v="96"/>
    <x v="11"/>
    <x v="6"/>
    <x v="11"/>
    <x v="0"/>
    <x v="16"/>
    <x v="12"/>
    <x v="5"/>
    <x v="2"/>
    <x v="2"/>
    <x v="4"/>
    <x v="1"/>
  </r>
  <r>
    <x v="956"/>
    <x v="161"/>
    <x v="7"/>
    <x v="2"/>
    <x v="7"/>
    <x v="2"/>
    <x v="54"/>
    <x v="7"/>
    <x v="8"/>
    <x v="3"/>
    <x v="0"/>
    <x v="4"/>
    <x v="4"/>
  </r>
  <r>
    <x v="957"/>
    <x v="61"/>
    <x v="11"/>
    <x v="6"/>
    <x v="11"/>
    <x v="2"/>
    <x v="68"/>
    <x v="4"/>
    <x v="6"/>
    <x v="0"/>
    <x v="1"/>
    <x v="5"/>
    <x v="1"/>
  </r>
  <r>
    <x v="958"/>
    <x v="75"/>
    <x v="12"/>
    <x v="2"/>
    <x v="2"/>
    <x v="2"/>
    <x v="8"/>
    <x v="6"/>
    <x v="5"/>
    <x v="3"/>
    <x v="2"/>
    <x v="4"/>
    <x v="0"/>
  </r>
  <r>
    <x v="959"/>
    <x v="90"/>
    <x v="1"/>
    <x v="1"/>
    <x v="1"/>
    <x v="2"/>
    <x v="52"/>
    <x v="2"/>
    <x v="5"/>
    <x v="4"/>
    <x v="0"/>
    <x v="3"/>
    <x v="5"/>
  </r>
  <r>
    <x v="960"/>
    <x v="132"/>
    <x v="8"/>
    <x v="3"/>
    <x v="8"/>
    <x v="4"/>
    <x v="50"/>
    <x v="13"/>
    <x v="7"/>
    <x v="3"/>
    <x v="0"/>
    <x v="5"/>
    <x v="0"/>
  </r>
  <r>
    <x v="961"/>
    <x v="80"/>
    <x v="13"/>
    <x v="2"/>
    <x v="12"/>
    <x v="1"/>
    <x v="24"/>
    <x v="4"/>
    <x v="6"/>
    <x v="3"/>
    <x v="0"/>
    <x v="4"/>
    <x v="0"/>
  </r>
  <r>
    <x v="962"/>
    <x v="15"/>
    <x v="2"/>
    <x v="2"/>
    <x v="2"/>
    <x v="0"/>
    <x v="5"/>
    <x v="13"/>
    <x v="0"/>
    <x v="2"/>
    <x v="2"/>
    <x v="2"/>
    <x v="2"/>
  </r>
  <r>
    <x v="963"/>
    <x v="128"/>
    <x v="1"/>
    <x v="1"/>
    <x v="1"/>
    <x v="1"/>
    <x v="4"/>
    <x v="14"/>
    <x v="11"/>
    <x v="0"/>
    <x v="0"/>
    <x v="0"/>
    <x v="0"/>
  </r>
  <r>
    <x v="964"/>
    <x v="120"/>
    <x v="14"/>
    <x v="2"/>
    <x v="13"/>
    <x v="3"/>
    <x v="42"/>
    <x v="0"/>
    <x v="1"/>
    <x v="0"/>
    <x v="0"/>
    <x v="1"/>
    <x v="5"/>
  </r>
  <r>
    <x v="965"/>
    <x v="13"/>
    <x v="5"/>
    <x v="4"/>
    <x v="5"/>
    <x v="4"/>
    <x v="58"/>
    <x v="1"/>
    <x v="5"/>
    <x v="3"/>
    <x v="0"/>
    <x v="1"/>
    <x v="0"/>
  </r>
  <r>
    <x v="966"/>
    <x v="16"/>
    <x v="9"/>
    <x v="6"/>
    <x v="9"/>
    <x v="1"/>
    <x v="17"/>
    <x v="14"/>
    <x v="6"/>
    <x v="3"/>
    <x v="0"/>
    <x v="3"/>
    <x v="1"/>
  </r>
  <r>
    <x v="967"/>
    <x v="24"/>
    <x v="8"/>
    <x v="3"/>
    <x v="8"/>
    <x v="2"/>
    <x v="40"/>
    <x v="2"/>
    <x v="11"/>
    <x v="4"/>
    <x v="2"/>
    <x v="0"/>
    <x v="5"/>
  </r>
  <r>
    <x v="968"/>
    <x v="62"/>
    <x v="4"/>
    <x v="3"/>
    <x v="4"/>
    <x v="0"/>
    <x v="31"/>
    <x v="11"/>
    <x v="3"/>
    <x v="3"/>
    <x v="0"/>
    <x v="4"/>
    <x v="3"/>
  </r>
  <r>
    <x v="969"/>
    <x v="15"/>
    <x v="5"/>
    <x v="4"/>
    <x v="5"/>
    <x v="3"/>
    <x v="67"/>
    <x v="5"/>
    <x v="9"/>
    <x v="3"/>
    <x v="1"/>
    <x v="2"/>
    <x v="2"/>
  </r>
  <r>
    <x v="970"/>
    <x v="172"/>
    <x v="12"/>
    <x v="2"/>
    <x v="2"/>
    <x v="0"/>
    <x v="5"/>
    <x v="6"/>
    <x v="4"/>
    <x v="1"/>
    <x v="0"/>
    <x v="1"/>
    <x v="5"/>
  </r>
  <r>
    <x v="971"/>
    <x v="133"/>
    <x v="0"/>
    <x v="0"/>
    <x v="0"/>
    <x v="4"/>
    <x v="45"/>
    <x v="8"/>
    <x v="11"/>
    <x v="1"/>
    <x v="0"/>
    <x v="2"/>
    <x v="1"/>
  </r>
  <r>
    <x v="972"/>
    <x v="127"/>
    <x v="1"/>
    <x v="1"/>
    <x v="1"/>
    <x v="1"/>
    <x v="4"/>
    <x v="3"/>
    <x v="0"/>
    <x v="0"/>
    <x v="0"/>
    <x v="2"/>
    <x v="4"/>
  </r>
  <r>
    <x v="973"/>
    <x v="33"/>
    <x v="13"/>
    <x v="2"/>
    <x v="12"/>
    <x v="0"/>
    <x v="65"/>
    <x v="1"/>
    <x v="5"/>
    <x v="2"/>
    <x v="0"/>
    <x v="1"/>
    <x v="6"/>
  </r>
  <r>
    <x v="974"/>
    <x v="67"/>
    <x v="8"/>
    <x v="3"/>
    <x v="8"/>
    <x v="4"/>
    <x v="50"/>
    <x v="1"/>
    <x v="6"/>
    <x v="0"/>
    <x v="1"/>
    <x v="1"/>
    <x v="5"/>
  </r>
  <r>
    <x v="975"/>
    <x v="99"/>
    <x v="8"/>
    <x v="3"/>
    <x v="8"/>
    <x v="3"/>
    <x v="60"/>
    <x v="1"/>
    <x v="8"/>
    <x v="1"/>
    <x v="0"/>
    <x v="5"/>
    <x v="1"/>
  </r>
  <r>
    <x v="976"/>
    <x v="15"/>
    <x v="0"/>
    <x v="0"/>
    <x v="0"/>
    <x v="3"/>
    <x v="36"/>
    <x v="14"/>
    <x v="1"/>
    <x v="2"/>
    <x v="1"/>
    <x v="2"/>
    <x v="2"/>
  </r>
  <r>
    <x v="977"/>
    <x v="12"/>
    <x v="13"/>
    <x v="2"/>
    <x v="12"/>
    <x v="4"/>
    <x v="26"/>
    <x v="2"/>
    <x v="11"/>
    <x v="1"/>
    <x v="0"/>
    <x v="5"/>
    <x v="0"/>
  </r>
  <r>
    <x v="978"/>
    <x v="146"/>
    <x v="0"/>
    <x v="0"/>
    <x v="0"/>
    <x v="3"/>
    <x v="36"/>
    <x v="7"/>
    <x v="0"/>
    <x v="0"/>
    <x v="1"/>
    <x v="3"/>
    <x v="0"/>
  </r>
  <r>
    <x v="979"/>
    <x v="86"/>
    <x v="2"/>
    <x v="2"/>
    <x v="2"/>
    <x v="3"/>
    <x v="13"/>
    <x v="7"/>
    <x v="9"/>
    <x v="3"/>
    <x v="0"/>
    <x v="4"/>
    <x v="2"/>
  </r>
  <r>
    <x v="980"/>
    <x v="172"/>
    <x v="2"/>
    <x v="2"/>
    <x v="2"/>
    <x v="4"/>
    <x v="38"/>
    <x v="8"/>
    <x v="2"/>
    <x v="4"/>
    <x v="0"/>
    <x v="1"/>
    <x v="5"/>
  </r>
  <r>
    <x v="981"/>
    <x v="2"/>
    <x v="3"/>
    <x v="2"/>
    <x v="3"/>
    <x v="2"/>
    <x v="3"/>
    <x v="11"/>
    <x v="8"/>
    <x v="3"/>
    <x v="0"/>
    <x v="1"/>
    <x v="2"/>
  </r>
  <r>
    <x v="982"/>
    <x v="97"/>
    <x v="3"/>
    <x v="2"/>
    <x v="3"/>
    <x v="0"/>
    <x v="18"/>
    <x v="1"/>
    <x v="1"/>
    <x v="3"/>
    <x v="1"/>
    <x v="1"/>
    <x v="6"/>
  </r>
  <r>
    <x v="983"/>
    <x v="78"/>
    <x v="9"/>
    <x v="6"/>
    <x v="9"/>
    <x v="2"/>
    <x v="55"/>
    <x v="3"/>
    <x v="1"/>
    <x v="0"/>
    <x v="0"/>
    <x v="5"/>
    <x v="1"/>
  </r>
  <r>
    <x v="984"/>
    <x v="53"/>
    <x v="4"/>
    <x v="3"/>
    <x v="4"/>
    <x v="3"/>
    <x v="49"/>
    <x v="9"/>
    <x v="8"/>
    <x v="0"/>
    <x v="0"/>
    <x v="3"/>
    <x v="3"/>
  </r>
  <r>
    <x v="985"/>
    <x v="128"/>
    <x v="13"/>
    <x v="2"/>
    <x v="12"/>
    <x v="3"/>
    <x v="23"/>
    <x v="9"/>
    <x v="7"/>
    <x v="0"/>
    <x v="0"/>
    <x v="0"/>
    <x v="0"/>
  </r>
  <r>
    <x v="986"/>
    <x v="100"/>
    <x v="12"/>
    <x v="2"/>
    <x v="2"/>
    <x v="1"/>
    <x v="2"/>
    <x v="0"/>
    <x v="1"/>
    <x v="0"/>
    <x v="0"/>
    <x v="2"/>
    <x v="3"/>
  </r>
  <r>
    <x v="987"/>
    <x v="95"/>
    <x v="7"/>
    <x v="2"/>
    <x v="7"/>
    <x v="2"/>
    <x v="54"/>
    <x v="11"/>
    <x v="6"/>
    <x v="3"/>
    <x v="0"/>
    <x v="5"/>
    <x v="0"/>
  </r>
  <r>
    <x v="988"/>
    <x v="69"/>
    <x v="9"/>
    <x v="6"/>
    <x v="9"/>
    <x v="4"/>
    <x v="57"/>
    <x v="11"/>
    <x v="0"/>
    <x v="1"/>
    <x v="0"/>
    <x v="2"/>
    <x v="0"/>
  </r>
  <r>
    <x v="989"/>
    <x v="33"/>
    <x v="8"/>
    <x v="3"/>
    <x v="8"/>
    <x v="0"/>
    <x v="11"/>
    <x v="2"/>
    <x v="0"/>
    <x v="3"/>
    <x v="0"/>
    <x v="1"/>
    <x v="6"/>
  </r>
  <r>
    <x v="990"/>
    <x v="18"/>
    <x v="11"/>
    <x v="6"/>
    <x v="11"/>
    <x v="0"/>
    <x v="16"/>
    <x v="12"/>
    <x v="0"/>
    <x v="2"/>
    <x v="0"/>
    <x v="1"/>
    <x v="2"/>
  </r>
  <r>
    <x v="991"/>
    <x v="125"/>
    <x v="4"/>
    <x v="3"/>
    <x v="4"/>
    <x v="4"/>
    <x v="61"/>
    <x v="7"/>
    <x v="4"/>
    <x v="0"/>
    <x v="0"/>
    <x v="1"/>
    <x v="1"/>
  </r>
  <r>
    <x v="992"/>
    <x v="81"/>
    <x v="9"/>
    <x v="6"/>
    <x v="9"/>
    <x v="3"/>
    <x v="12"/>
    <x v="6"/>
    <x v="0"/>
    <x v="4"/>
    <x v="0"/>
    <x v="2"/>
    <x v="0"/>
  </r>
  <r>
    <x v="993"/>
    <x v="118"/>
    <x v="0"/>
    <x v="0"/>
    <x v="0"/>
    <x v="0"/>
    <x v="0"/>
    <x v="2"/>
    <x v="5"/>
    <x v="2"/>
    <x v="0"/>
    <x v="1"/>
    <x v="1"/>
  </r>
  <r>
    <x v="994"/>
    <x v="77"/>
    <x v="13"/>
    <x v="2"/>
    <x v="12"/>
    <x v="2"/>
    <x v="25"/>
    <x v="10"/>
    <x v="4"/>
    <x v="2"/>
    <x v="1"/>
    <x v="4"/>
    <x v="6"/>
  </r>
  <r>
    <x v="995"/>
    <x v="108"/>
    <x v="13"/>
    <x v="2"/>
    <x v="12"/>
    <x v="4"/>
    <x v="26"/>
    <x v="0"/>
    <x v="4"/>
    <x v="1"/>
    <x v="0"/>
    <x v="3"/>
    <x v="1"/>
  </r>
  <r>
    <x v="996"/>
    <x v="113"/>
    <x v="10"/>
    <x v="7"/>
    <x v="10"/>
    <x v="0"/>
    <x v="33"/>
    <x v="10"/>
    <x v="7"/>
    <x v="2"/>
    <x v="0"/>
    <x v="5"/>
    <x v="6"/>
  </r>
  <r>
    <x v="997"/>
    <x v="63"/>
    <x v="11"/>
    <x v="6"/>
    <x v="11"/>
    <x v="3"/>
    <x v="28"/>
    <x v="14"/>
    <x v="4"/>
    <x v="0"/>
    <x v="0"/>
    <x v="5"/>
    <x v="4"/>
  </r>
  <r>
    <x v="998"/>
    <x v="164"/>
    <x v="5"/>
    <x v="4"/>
    <x v="5"/>
    <x v="2"/>
    <x v="53"/>
    <x v="2"/>
    <x v="5"/>
    <x v="4"/>
    <x v="0"/>
    <x v="4"/>
    <x v="1"/>
  </r>
  <r>
    <x v="999"/>
    <x v="158"/>
    <x v="9"/>
    <x v="6"/>
    <x v="9"/>
    <x v="2"/>
    <x v="55"/>
    <x v="7"/>
    <x v="8"/>
    <x v="4"/>
    <x v="0"/>
    <x v="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E58:F74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axis="axisRow"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dataField="1" showAll="0">
      <items count="6">
        <item x="1"/>
        <item x="0"/>
        <item x="4"/>
        <item x="2"/>
        <item x="3"/>
        <item t="default"/>
      </items>
    </pivotField>
    <pivotField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A58:B67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axis="axisRow"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dataField="1" showAll="0">
      <items count="6">
        <item x="1"/>
        <item x="0"/>
        <item x="4"/>
        <item x="2"/>
        <item x="3"/>
        <item t="default"/>
      </items>
    </pivotField>
    <pivotField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Quantity" fld="5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E46:F53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dataField="1"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axis="axisRow"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8">
  <location ref="A46:B50" firstHeaderRow="1" firstDataRow="1" firstDataCol="1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4"/>
        <item x="6"/>
        <item x="3"/>
        <item x="0"/>
        <item x="1"/>
        <item x="2"/>
        <item x="5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F23:G29" firstHeaderRow="1" firstDataRow="1" firstDataCol="1"/>
  <pivotFields count="13">
    <pivotField dataField="1"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axis="axisRow"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Order 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13">
  <location ref="A24:B40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axis="axisRow"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dataField="1"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2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 chartFormat="4">
  <location ref="D7:E20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dataField="1"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axis="axisRow"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indent="0" outline="1" outlineData="1" showDrill="1" multipleFieldFilters="0">
  <location ref="A3:B12" firstHeaderRow="1" firstDataRow="1" firstDataCol="1"/>
  <pivotFields count="13">
    <pivotField showAll="0">
      <items count="1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showAll="0">
      <items count="180">
        <item x="75"/>
        <item x="173"/>
        <item x="144"/>
        <item x="11"/>
        <item x="16"/>
        <item x="157"/>
        <item x="96"/>
        <item x="63"/>
        <item x="34"/>
        <item x="0"/>
        <item x="107"/>
        <item x="97"/>
        <item x="66"/>
        <item x="160"/>
        <item x="152"/>
        <item x="60"/>
        <item x="90"/>
        <item x="6"/>
        <item x="142"/>
        <item x="102"/>
        <item x="5"/>
        <item x="92"/>
        <item x="110"/>
        <item x="158"/>
        <item x="161"/>
        <item x="105"/>
        <item x="69"/>
        <item x="123"/>
        <item x="174"/>
        <item x="118"/>
        <item x="54"/>
        <item x="99"/>
        <item x="133"/>
        <item x="93"/>
        <item x="53"/>
        <item x="162"/>
        <item x="28"/>
        <item x="89"/>
        <item x="35"/>
        <item x="139"/>
        <item x="39"/>
        <item x="67"/>
        <item x="80"/>
        <item x="40"/>
        <item x="19"/>
        <item x="131"/>
        <item x="23"/>
        <item x="21"/>
        <item x="72"/>
        <item x="112"/>
        <item x="127"/>
        <item x="119"/>
        <item x="22"/>
        <item x="121"/>
        <item x="52"/>
        <item x="151"/>
        <item x="170"/>
        <item x="45"/>
        <item x="177"/>
        <item x="178"/>
        <item x="111"/>
        <item x="115"/>
        <item x="91"/>
        <item x="25"/>
        <item x="175"/>
        <item x="147"/>
        <item x="95"/>
        <item x="38"/>
        <item x="56"/>
        <item x="129"/>
        <item x="1"/>
        <item x="77"/>
        <item x="78"/>
        <item x="166"/>
        <item x="9"/>
        <item x="104"/>
        <item x="2"/>
        <item x="14"/>
        <item x="159"/>
        <item x="106"/>
        <item x="138"/>
        <item x="146"/>
        <item x="57"/>
        <item x="116"/>
        <item x="98"/>
        <item x="8"/>
        <item x="82"/>
        <item x="108"/>
        <item x="154"/>
        <item x="20"/>
        <item x="87"/>
        <item x="74"/>
        <item x="141"/>
        <item x="73"/>
        <item x="29"/>
        <item x="86"/>
        <item x="70"/>
        <item x="156"/>
        <item x="169"/>
        <item x="155"/>
        <item x="165"/>
        <item x="71"/>
        <item x="126"/>
        <item x="148"/>
        <item x="41"/>
        <item x="163"/>
        <item x="140"/>
        <item x="114"/>
        <item x="132"/>
        <item x="47"/>
        <item x="24"/>
        <item x="94"/>
        <item x="117"/>
        <item x="48"/>
        <item x="109"/>
        <item x="32"/>
        <item x="171"/>
        <item x="135"/>
        <item x="18"/>
        <item x="62"/>
        <item x="17"/>
        <item x="15"/>
        <item x="42"/>
        <item x="27"/>
        <item x="120"/>
        <item x="50"/>
        <item x="145"/>
        <item x="88"/>
        <item x="64"/>
        <item x="136"/>
        <item x="31"/>
        <item x="164"/>
        <item x="167"/>
        <item x="65"/>
        <item x="44"/>
        <item x="122"/>
        <item x="33"/>
        <item x="153"/>
        <item x="113"/>
        <item x="37"/>
        <item x="168"/>
        <item x="103"/>
        <item x="83"/>
        <item x="26"/>
        <item x="46"/>
        <item x="100"/>
        <item x="3"/>
        <item x="7"/>
        <item x="13"/>
        <item x="68"/>
        <item x="12"/>
        <item x="81"/>
        <item x="84"/>
        <item x="59"/>
        <item x="125"/>
        <item x="79"/>
        <item x="61"/>
        <item x="4"/>
        <item x="143"/>
        <item x="36"/>
        <item x="30"/>
        <item x="150"/>
        <item x="176"/>
        <item x="85"/>
        <item x="130"/>
        <item x="51"/>
        <item x="172"/>
        <item x="10"/>
        <item x="149"/>
        <item x="134"/>
        <item x="58"/>
        <item x="49"/>
        <item x="124"/>
        <item x="55"/>
        <item x="128"/>
        <item x="101"/>
        <item x="137"/>
        <item x="43"/>
        <item x="76"/>
        <item t="default"/>
      </items>
    </pivotField>
    <pivotField showAll="0">
      <items count="16">
        <item x="1"/>
        <item x="14"/>
        <item x="9"/>
        <item x="3"/>
        <item x="8"/>
        <item x="2"/>
        <item x="5"/>
        <item x="10"/>
        <item x="12"/>
        <item x="0"/>
        <item x="13"/>
        <item x="6"/>
        <item x="4"/>
        <item x="11"/>
        <item x="7"/>
        <item t="default"/>
      </items>
    </pivotField>
    <pivotField axis="axisRow" showAll="0">
      <items count="9">
        <item x="1"/>
        <item x="3"/>
        <item x="2"/>
        <item x="0"/>
        <item x="7"/>
        <item x="6"/>
        <item x="5"/>
        <item x="4"/>
        <item t="default"/>
      </items>
    </pivotField>
    <pivotField showAll="0">
      <items count="15">
        <item x="5"/>
        <item x="9"/>
        <item x="11"/>
        <item x="4"/>
        <item x="7"/>
        <item x="6"/>
        <item x="2"/>
        <item x="1"/>
        <item x="8"/>
        <item x="13"/>
        <item x="3"/>
        <item x="0"/>
        <item x="12"/>
        <item x="10"/>
        <item t="default"/>
      </items>
    </pivotField>
    <pivotField showAll="0">
      <items count="6">
        <item x="1"/>
        <item x="0"/>
        <item x="4"/>
        <item x="2"/>
        <item x="3"/>
        <item t="default"/>
      </items>
    </pivotField>
    <pivotField dataField="1" showAll="0">
      <items count="71">
        <item x="27"/>
        <item x="17"/>
        <item x="7"/>
        <item x="20"/>
        <item x="58"/>
        <item x="19"/>
        <item x="6"/>
        <item x="53"/>
        <item x="62"/>
        <item x="57"/>
        <item x="34"/>
        <item x="67"/>
        <item x="16"/>
        <item x="55"/>
        <item x="2"/>
        <item x="31"/>
        <item x="12"/>
        <item x="29"/>
        <item x="4"/>
        <item x="10"/>
        <item x="69"/>
        <item x="9"/>
        <item x="66"/>
        <item x="68"/>
        <item x="47"/>
        <item x="61"/>
        <item x="30"/>
        <item x="28"/>
        <item x="56"/>
        <item x="5"/>
        <item x="43"/>
        <item x="37"/>
        <item x="1"/>
        <item x="54"/>
        <item x="11"/>
        <item x="49"/>
        <item x="51"/>
        <item x="64"/>
        <item x="38"/>
        <item x="44"/>
        <item x="18"/>
        <item x="24"/>
        <item x="39"/>
        <item x="21"/>
        <item x="50"/>
        <item x="0"/>
        <item x="8"/>
        <item x="35"/>
        <item x="59"/>
        <item x="52"/>
        <item x="63"/>
        <item x="40"/>
        <item x="13"/>
        <item x="32"/>
        <item x="46"/>
        <item x="45"/>
        <item x="60"/>
        <item x="3"/>
        <item x="65"/>
        <item x="42"/>
        <item x="41"/>
        <item x="15"/>
        <item x="33"/>
        <item x="26"/>
        <item x="36"/>
        <item x="25"/>
        <item x="48"/>
        <item x="23"/>
        <item x="22"/>
        <item x="14"/>
        <item t="default"/>
      </items>
    </pivotField>
    <pivotField showAll="0">
      <items count="16">
        <item x="0"/>
        <item x="4"/>
        <item x="8"/>
        <item x="9"/>
        <item x="6"/>
        <item x="7"/>
        <item x="13"/>
        <item x="5"/>
        <item x="3"/>
        <item x="10"/>
        <item x="12"/>
        <item x="14"/>
        <item x="1"/>
        <item x="2"/>
        <item x="11"/>
        <item t="default"/>
      </items>
    </pivotField>
    <pivotField showAll="0">
      <items count="13">
        <item x="1"/>
        <item x="0"/>
        <item x="9"/>
        <item x="7"/>
        <item x="2"/>
        <item x="11"/>
        <item x="6"/>
        <item x="3"/>
        <item x="10"/>
        <item x="8"/>
        <item x="5"/>
        <item x="4"/>
        <item t="default"/>
      </items>
    </pivotField>
    <pivotField showAll="0">
      <items count="6">
        <item x="2"/>
        <item x="4"/>
        <item x="1"/>
        <item x="0"/>
        <item x="3"/>
        <item t="default"/>
      </items>
    </pivotField>
    <pivotField showAll="0">
      <items count="4">
        <item x="1"/>
        <item x="0"/>
        <item x="2"/>
        <item t="default"/>
      </items>
    </pivotField>
    <pivotField showAll="0">
      <items count="7">
        <item x="4"/>
        <item x="5"/>
        <item x="2"/>
        <item x="0"/>
        <item x="3"/>
        <item x="1"/>
        <item t="default"/>
      </items>
    </pivotField>
    <pivotField showAll="0">
      <items count="8">
        <item x="5"/>
        <item x="4"/>
        <item x="6"/>
        <item x="3"/>
        <item x="0"/>
        <item x="1"/>
        <item x="2"/>
        <item t="default"/>
      </items>
    </pivotField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6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Status" sourceName="Order Status">
  <pivotTables>
    <pivotTable tabId="6" name="PivotTable7"/>
    <pivotTable tabId="6" name="PivotTable10"/>
    <pivotTable tabId="6" name="PivotTable3"/>
    <pivotTable tabId="6" name="PivotTable4"/>
    <pivotTable tabId="6" name="PivotTable5"/>
    <pivotTable tabId="6" name="PivotTable8"/>
    <pivotTable tabId="6" name="PivotTable9"/>
  </pivotTables>
  <data>
    <tabular pivotCacheId="1">
      <items count="3">
        <i x="1" s="1"/>
        <i x="0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ayment_Method" sourceName="Payment Method">
  <pivotTables>
    <pivotTable tabId="6" name="PivotTable7"/>
    <pivotTable tabId="6" name="PivotTable10"/>
    <pivotTable tabId="6" name="PivotTable3"/>
    <pivotTable tabId="6" name="PivotTable4"/>
    <pivotTable tabId="6" name="PivotTable5"/>
    <pivotTable tabId="6" name="PivotTable6"/>
    <pivotTable tabId="6" name="PivotTable8"/>
    <pivotTable tabId="6" name="PivotTable9"/>
  </pivotTables>
  <data>
    <tabular pivotCacheId="1">
      <items count="5">
        <i x="2" s="1"/>
        <i x="4" s="1"/>
        <i x="1" s="1"/>
        <i x="0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ustomer_Location" sourceName="Customer Location">
  <pivotTables>
    <pivotTable tabId="6" name="PivotTable7"/>
    <pivotTable tabId="6" name="PivotTable10"/>
    <pivotTable tabId="6" name="PivotTable3"/>
    <pivotTable tabId="6" name="PivotTable4"/>
    <pivotTable tabId="6" name="PivotTable5"/>
    <pivotTable tabId="6" name="PivotTable6"/>
    <pivotTable tabId="6" name="PivotTable8"/>
    <pivotTable tabId="6" name="PivotTable9"/>
  </pivotTables>
  <data>
    <tabular pivotCacheId="1">
      <items count="12">
        <i x="1" s="1"/>
        <i x="0" s="1"/>
        <i x="9" s="1"/>
        <i x="7" s="1"/>
        <i x="2" s="1"/>
        <i x="11" s="1"/>
        <i x="6" s="1"/>
        <i x="3" s="1"/>
        <i x="10" s="1"/>
        <i x="8" s="1"/>
        <i x="5" s="1"/>
        <i x="4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6" name="PivotTable7"/>
    <pivotTable tabId="6" name="PivotTable10"/>
    <pivotTable tabId="6" name="PivotTable3"/>
    <pivotTable tabId="6" name="PivotTable4"/>
    <pivotTable tabId="6" name="PivotTable5"/>
    <pivotTable tabId="6" name="PivotTable6"/>
    <pivotTable tabId="6" name="PivotTable8"/>
    <pivotTable tabId="6" name="PivotTable9"/>
  </pivotTables>
  <data>
    <tabular pivotCacheId="1">
      <items count="8">
        <i x="1" s="1"/>
        <i x="3" s="1"/>
        <i x="2" s="1"/>
        <i x="0" s="1"/>
        <i x="7" s="1"/>
        <i x="6" s="1"/>
        <i x="5" s="1"/>
        <i x="4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" cache="Slicer_Category" caption="Category" startItem="1" rowHeight="234950"/>
  <slicer name="Customer Location" cache="Slicer_Customer_Location" caption="Customer Location" rowHeight="234950"/>
  <slicer name="Payment Method" cache="Slicer_Payment_Method" caption="Payment Method" rowHeight="234950"/>
  <slicer name="Order Status" cache="Slicer_Order_Status" caption="Order Status" rowHeight="23495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1"/>
  <sheetViews>
    <sheetView topLeftCell="A972" workbookViewId="0">
      <selection activeCell="A1" sqref="A1:K1001"/>
    </sheetView>
  </sheetViews>
  <sheetFormatPr defaultColWidth="9" defaultRowHeight="14.4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>
        <v>2499</v>
      </c>
      <c r="F2">
        <v>2</v>
      </c>
      <c r="G2">
        <v>4998</v>
      </c>
      <c r="H2" t="s">
        <v>15</v>
      </c>
      <c r="I2" t="s">
        <v>16</v>
      </c>
      <c r="J2" t="s">
        <v>17</v>
      </c>
      <c r="K2" t="s">
        <v>18</v>
      </c>
    </row>
    <row r="3" spans="1:11">
      <c r="A3" t="s">
        <v>19</v>
      </c>
      <c r="B3" t="s">
        <v>20</v>
      </c>
      <c r="C3" t="s">
        <v>21</v>
      </c>
      <c r="D3" t="s">
        <v>22</v>
      </c>
      <c r="E3">
        <v>1499</v>
      </c>
      <c r="F3">
        <v>2</v>
      </c>
      <c r="G3">
        <v>2998</v>
      </c>
      <c r="H3" t="s">
        <v>23</v>
      </c>
      <c r="I3" t="s">
        <v>24</v>
      </c>
      <c r="J3" t="s">
        <v>25</v>
      </c>
      <c r="K3" t="s">
        <v>18</v>
      </c>
    </row>
    <row r="4" spans="1:11">
      <c r="A4" t="s">
        <v>26</v>
      </c>
      <c r="B4" t="s">
        <v>27</v>
      </c>
      <c r="C4" t="s">
        <v>28</v>
      </c>
      <c r="D4" t="s">
        <v>29</v>
      </c>
      <c r="E4">
        <v>1299</v>
      </c>
      <c r="F4">
        <v>1</v>
      </c>
      <c r="G4">
        <v>1299</v>
      </c>
      <c r="H4" t="s">
        <v>30</v>
      </c>
      <c r="I4" t="s">
        <v>31</v>
      </c>
      <c r="J4" t="s">
        <v>32</v>
      </c>
      <c r="K4" t="s">
        <v>33</v>
      </c>
    </row>
    <row r="5" spans="1:11">
      <c r="A5" t="s">
        <v>34</v>
      </c>
      <c r="B5" t="s">
        <v>35</v>
      </c>
      <c r="C5" t="s">
        <v>36</v>
      </c>
      <c r="D5" t="s">
        <v>29</v>
      </c>
      <c r="E5">
        <v>1999</v>
      </c>
      <c r="F5">
        <v>4</v>
      </c>
      <c r="G5">
        <v>7996</v>
      </c>
      <c r="H5" t="s">
        <v>37</v>
      </c>
      <c r="I5" t="s">
        <v>31</v>
      </c>
      <c r="J5" t="s">
        <v>38</v>
      </c>
      <c r="K5" t="s">
        <v>18</v>
      </c>
    </row>
    <row r="6" spans="1:11">
      <c r="A6" t="s">
        <v>39</v>
      </c>
      <c r="B6" t="s">
        <v>40</v>
      </c>
      <c r="C6" t="s">
        <v>21</v>
      </c>
      <c r="D6" t="s">
        <v>22</v>
      </c>
      <c r="E6">
        <v>1499</v>
      </c>
      <c r="F6">
        <v>1</v>
      </c>
      <c r="G6">
        <v>1499</v>
      </c>
      <c r="H6" t="s">
        <v>15</v>
      </c>
      <c r="I6" t="s">
        <v>16</v>
      </c>
      <c r="J6" t="s">
        <v>32</v>
      </c>
      <c r="K6" t="s">
        <v>18</v>
      </c>
    </row>
    <row r="7" spans="1:11">
      <c r="A7" t="s">
        <v>41</v>
      </c>
      <c r="B7" t="s">
        <v>42</v>
      </c>
      <c r="C7" t="s">
        <v>28</v>
      </c>
      <c r="D7" t="s">
        <v>29</v>
      </c>
      <c r="E7">
        <v>1299</v>
      </c>
      <c r="F7">
        <v>2</v>
      </c>
      <c r="G7">
        <v>2598</v>
      </c>
      <c r="H7" t="s">
        <v>43</v>
      </c>
      <c r="I7" t="s">
        <v>44</v>
      </c>
      <c r="J7" t="s">
        <v>17</v>
      </c>
      <c r="K7" t="s">
        <v>45</v>
      </c>
    </row>
    <row r="8" spans="1:11">
      <c r="A8" t="s">
        <v>46</v>
      </c>
      <c r="B8" t="s">
        <v>47</v>
      </c>
      <c r="C8" t="s">
        <v>48</v>
      </c>
      <c r="D8" t="s">
        <v>49</v>
      </c>
      <c r="E8">
        <v>699</v>
      </c>
      <c r="F8">
        <v>1</v>
      </c>
      <c r="G8">
        <v>699</v>
      </c>
      <c r="H8" t="s">
        <v>30</v>
      </c>
      <c r="I8" t="s">
        <v>44</v>
      </c>
      <c r="J8" t="s">
        <v>38</v>
      </c>
      <c r="K8" t="s">
        <v>33</v>
      </c>
    </row>
    <row r="9" spans="1:11">
      <c r="A9" t="s">
        <v>50</v>
      </c>
      <c r="B9" t="s">
        <v>51</v>
      </c>
      <c r="C9" t="s">
        <v>52</v>
      </c>
      <c r="D9" t="s">
        <v>53</v>
      </c>
      <c r="E9">
        <v>199</v>
      </c>
      <c r="F9">
        <v>2</v>
      </c>
      <c r="G9">
        <v>398</v>
      </c>
      <c r="H9" t="s">
        <v>23</v>
      </c>
      <c r="I9" t="s">
        <v>31</v>
      </c>
      <c r="J9" t="s">
        <v>38</v>
      </c>
      <c r="K9" t="s">
        <v>33</v>
      </c>
    </row>
    <row r="10" spans="1:11">
      <c r="A10" t="s">
        <v>54</v>
      </c>
      <c r="B10" t="s">
        <v>55</v>
      </c>
      <c r="C10" t="s">
        <v>28</v>
      </c>
      <c r="D10" t="s">
        <v>29</v>
      </c>
      <c r="E10">
        <v>1299</v>
      </c>
      <c r="F10">
        <v>4</v>
      </c>
      <c r="G10">
        <v>5196</v>
      </c>
      <c r="H10" t="s">
        <v>56</v>
      </c>
      <c r="I10" t="s">
        <v>57</v>
      </c>
      <c r="J10" t="s">
        <v>38</v>
      </c>
      <c r="K10" t="s">
        <v>18</v>
      </c>
    </row>
    <row r="11" spans="1:11">
      <c r="A11" t="s">
        <v>58</v>
      </c>
      <c r="B11" t="s">
        <v>59</v>
      </c>
      <c r="C11" t="s">
        <v>60</v>
      </c>
      <c r="D11" t="s">
        <v>61</v>
      </c>
      <c r="E11">
        <v>899</v>
      </c>
      <c r="F11">
        <v>2</v>
      </c>
      <c r="G11">
        <v>1798</v>
      </c>
      <c r="H11" t="s">
        <v>62</v>
      </c>
      <c r="I11" t="s">
        <v>63</v>
      </c>
      <c r="J11" t="s">
        <v>32</v>
      </c>
      <c r="K11" t="s">
        <v>18</v>
      </c>
    </row>
    <row r="12" spans="1:11">
      <c r="A12" t="s">
        <v>64</v>
      </c>
      <c r="B12" t="s">
        <v>65</v>
      </c>
      <c r="C12" t="s">
        <v>28</v>
      </c>
      <c r="D12" t="s">
        <v>29</v>
      </c>
      <c r="E12">
        <v>1299</v>
      </c>
      <c r="F12">
        <v>2</v>
      </c>
      <c r="G12">
        <v>2598</v>
      </c>
      <c r="H12" t="s">
        <v>66</v>
      </c>
      <c r="I12" t="s">
        <v>67</v>
      </c>
      <c r="J12" t="s">
        <v>32</v>
      </c>
      <c r="K12" t="s">
        <v>18</v>
      </c>
    </row>
    <row r="13" spans="1:11">
      <c r="A13" t="s">
        <v>68</v>
      </c>
      <c r="B13" t="s">
        <v>69</v>
      </c>
      <c r="C13" t="s">
        <v>70</v>
      </c>
      <c r="D13" t="s">
        <v>29</v>
      </c>
      <c r="E13">
        <v>799</v>
      </c>
      <c r="F13">
        <v>2</v>
      </c>
      <c r="G13">
        <v>1598</v>
      </c>
      <c r="H13" t="s">
        <v>71</v>
      </c>
      <c r="I13" t="s">
        <v>24</v>
      </c>
      <c r="J13" t="s">
        <v>38</v>
      </c>
      <c r="K13" t="s">
        <v>45</v>
      </c>
    </row>
    <row r="14" spans="1:11">
      <c r="A14" t="s">
        <v>72</v>
      </c>
      <c r="B14" t="s">
        <v>73</v>
      </c>
      <c r="C14" t="s">
        <v>21</v>
      </c>
      <c r="D14" t="s">
        <v>22</v>
      </c>
      <c r="E14">
        <v>1499</v>
      </c>
      <c r="F14">
        <v>1</v>
      </c>
      <c r="G14">
        <v>1499</v>
      </c>
      <c r="H14" t="s">
        <v>15</v>
      </c>
      <c r="I14" t="s">
        <v>24</v>
      </c>
      <c r="J14" t="s">
        <v>25</v>
      </c>
      <c r="K14" t="s">
        <v>45</v>
      </c>
    </row>
    <row r="15" spans="1:11">
      <c r="A15" t="s">
        <v>74</v>
      </c>
      <c r="B15" t="s">
        <v>75</v>
      </c>
      <c r="C15" t="s">
        <v>76</v>
      </c>
      <c r="D15" t="s">
        <v>49</v>
      </c>
      <c r="E15">
        <v>1599</v>
      </c>
      <c r="F15">
        <v>2</v>
      </c>
      <c r="G15">
        <v>3198</v>
      </c>
      <c r="H15" t="s">
        <v>15</v>
      </c>
      <c r="I15" t="s">
        <v>77</v>
      </c>
      <c r="J15" t="s">
        <v>32</v>
      </c>
      <c r="K15" t="s">
        <v>33</v>
      </c>
    </row>
    <row r="16" spans="1:11">
      <c r="A16" t="s">
        <v>78</v>
      </c>
      <c r="B16" t="s">
        <v>79</v>
      </c>
      <c r="C16" t="s">
        <v>80</v>
      </c>
      <c r="D16" t="s">
        <v>81</v>
      </c>
      <c r="E16">
        <v>299</v>
      </c>
      <c r="F16">
        <v>5</v>
      </c>
      <c r="G16">
        <v>1495</v>
      </c>
      <c r="H16" t="s">
        <v>71</v>
      </c>
      <c r="I16" t="s">
        <v>82</v>
      </c>
      <c r="J16" t="s">
        <v>17</v>
      </c>
      <c r="K16" t="s">
        <v>45</v>
      </c>
    </row>
    <row r="17" spans="1:11">
      <c r="A17" t="s">
        <v>83</v>
      </c>
      <c r="B17" t="s">
        <v>84</v>
      </c>
      <c r="C17" t="s">
        <v>28</v>
      </c>
      <c r="D17" t="s">
        <v>29</v>
      </c>
      <c r="E17">
        <v>1299</v>
      </c>
      <c r="F17">
        <v>5</v>
      </c>
      <c r="G17">
        <v>6495</v>
      </c>
      <c r="H17" t="s">
        <v>71</v>
      </c>
      <c r="I17" t="s">
        <v>63</v>
      </c>
      <c r="J17" t="s">
        <v>25</v>
      </c>
      <c r="K17" t="s">
        <v>18</v>
      </c>
    </row>
    <row r="18" spans="1:11">
      <c r="A18" t="s">
        <v>85</v>
      </c>
      <c r="B18" t="s">
        <v>86</v>
      </c>
      <c r="C18" t="s">
        <v>87</v>
      </c>
      <c r="D18" t="s">
        <v>88</v>
      </c>
      <c r="E18">
        <v>5499</v>
      </c>
      <c r="F18">
        <v>5</v>
      </c>
      <c r="G18">
        <v>27495</v>
      </c>
      <c r="H18" t="s">
        <v>89</v>
      </c>
      <c r="I18" t="s">
        <v>57</v>
      </c>
      <c r="J18" t="s">
        <v>90</v>
      </c>
      <c r="K18" t="s">
        <v>18</v>
      </c>
    </row>
    <row r="19" spans="1:11">
      <c r="A19" t="s">
        <v>91</v>
      </c>
      <c r="B19" t="s">
        <v>92</v>
      </c>
      <c r="C19" t="s">
        <v>48</v>
      </c>
      <c r="D19" t="s">
        <v>49</v>
      </c>
      <c r="E19">
        <v>699</v>
      </c>
      <c r="F19">
        <v>1</v>
      </c>
      <c r="G19">
        <v>699</v>
      </c>
      <c r="H19" t="s">
        <v>30</v>
      </c>
      <c r="I19" t="s">
        <v>16</v>
      </c>
      <c r="J19" t="s">
        <v>90</v>
      </c>
      <c r="K19" t="s">
        <v>18</v>
      </c>
    </row>
    <row r="20" spans="1:11">
      <c r="A20" t="s">
        <v>93</v>
      </c>
      <c r="B20" t="s">
        <v>94</v>
      </c>
      <c r="C20" t="s">
        <v>13</v>
      </c>
      <c r="D20" t="s">
        <v>14</v>
      </c>
      <c r="E20">
        <v>2499</v>
      </c>
      <c r="F20">
        <v>4</v>
      </c>
      <c r="G20">
        <v>9996</v>
      </c>
      <c r="H20" t="s">
        <v>95</v>
      </c>
      <c r="I20" t="s">
        <v>63</v>
      </c>
      <c r="J20" t="s">
        <v>25</v>
      </c>
      <c r="K20" t="s">
        <v>18</v>
      </c>
    </row>
    <row r="21" spans="1:11">
      <c r="A21" t="s">
        <v>96</v>
      </c>
      <c r="B21" t="s">
        <v>97</v>
      </c>
      <c r="C21" t="s">
        <v>28</v>
      </c>
      <c r="D21" t="s">
        <v>29</v>
      </c>
      <c r="E21">
        <v>1299</v>
      </c>
      <c r="F21">
        <v>5</v>
      </c>
      <c r="G21">
        <v>6495</v>
      </c>
      <c r="H21" t="s">
        <v>62</v>
      </c>
      <c r="I21" t="s">
        <v>98</v>
      </c>
      <c r="J21" t="s">
        <v>17</v>
      </c>
      <c r="K21" t="s">
        <v>18</v>
      </c>
    </row>
    <row r="22" spans="1:11">
      <c r="A22" t="s">
        <v>99</v>
      </c>
      <c r="B22" t="s">
        <v>100</v>
      </c>
      <c r="C22" t="s">
        <v>101</v>
      </c>
      <c r="D22" t="s">
        <v>81</v>
      </c>
      <c r="E22">
        <v>499</v>
      </c>
      <c r="F22">
        <v>2</v>
      </c>
      <c r="G22">
        <v>998</v>
      </c>
      <c r="H22" t="s">
        <v>102</v>
      </c>
      <c r="I22" t="s">
        <v>16</v>
      </c>
      <c r="J22" t="s">
        <v>38</v>
      </c>
      <c r="K22" t="s">
        <v>18</v>
      </c>
    </row>
    <row r="23" spans="1:11">
      <c r="A23" t="s">
        <v>103</v>
      </c>
      <c r="B23" t="s">
        <v>104</v>
      </c>
      <c r="C23" t="s">
        <v>80</v>
      </c>
      <c r="D23" t="s">
        <v>81</v>
      </c>
      <c r="E23">
        <v>299</v>
      </c>
      <c r="F23">
        <v>1</v>
      </c>
      <c r="G23">
        <v>299</v>
      </c>
      <c r="H23" t="s">
        <v>15</v>
      </c>
      <c r="I23" t="s">
        <v>105</v>
      </c>
      <c r="J23" t="s">
        <v>90</v>
      </c>
      <c r="K23" t="s">
        <v>33</v>
      </c>
    </row>
    <row r="24" spans="1:11">
      <c r="A24" t="s">
        <v>106</v>
      </c>
      <c r="B24" t="s">
        <v>107</v>
      </c>
      <c r="C24" t="s">
        <v>13</v>
      </c>
      <c r="D24" t="s">
        <v>14</v>
      </c>
      <c r="E24">
        <v>2499</v>
      </c>
      <c r="F24">
        <v>2</v>
      </c>
      <c r="G24">
        <v>4998</v>
      </c>
      <c r="H24" t="s">
        <v>62</v>
      </c>
      <c r="I24" t="s">
        <v>57</v>
      </c>
      <c r="J24" t="s">
        <v>32</v>
      </c>
      <c r="K24" t="s">
        <v>45</v>
      </c>
    </row>
    <row r="25" spans="1:11">
      <c r="A25" t="s">
        <v>108</v>
      </c>
      <c r="B25" t="s">
        <v>109</v>
      </c>
      <c r="C25" t="s">
        <v>101</v>
      </c>
      <c r="D25" t="s">
        <v>81</v>
      </c>
      <c r="E25">
        <v>499</v>
      </c>
      <c r="F25">
        <v>2</v>
      </c>
      <c r="G25">
        <v>998</v>
      </c>
      <c r="H25" t="s">
        <v>37</v>
      </c>
      <c r="I25" t="s">
        <v>98</v>
      </c>
      <c r="J25" t="s">
        <v>25</v>
      </c>
      <c r="K25" t="s">
        <v>45</v>
      </c>
    </row>
    <row r="26" spans="1:11">
      <c r="A26" t="s">
        <v>110</v>
      </c>
      <c r="B26" t="s">
        <v>111</v>
      </c>
      <c r="C26" t="s">
        <v>21</v>
      </c>
      <c r="D26" t="s">
        <v>22</v>
      </c>
      <c r="E26">
        <v>1499</v>
      </c>
      <c r="F26">
        <v>2</v>
      </c>
      <c r="G26">
        <v>2998</v>
      </c>
      <c r="H26" t="s">
        <v>62</v>
      </c>
      <c r="I26" t="s">
        <v>77</v>
      </c>
      <c r="J26" t="s">
        <v>38</v>
      </c>
      <c r="K26" t="s">
        <v>18</v>
      </c>
    </row>
    <row r="27" spans="1:11">
      <c r="A27" t="s">
        <v>112</v>
      </c>
      <c r="B27" t="s">
        <v>113</v>
      </c>
      <c r="C27" t="s">
        <v>80</v>
      </c>
      <c r="D27" t="s">
        <v>81</v>
      </c>
      <c r="E27">
        <v>299</v>
      </c>
      <c r="F27">
        <v>5</v>
      </c>
      <c r="G27">
        <v>1495</v>
      </c>
      <c r="H27" t="s">
        <v>37</v>
      </c>
      <c r="I27" t="s">
        <v>77</v>
      </c>
      <c r="J27" t="s">
        <v>32</v>
      </c>
      <c r="K27" t="s">
        <v>45</v>
      </c>
    </row>
    <row r="28" spans="1:11">
      <c r="A28" t="s">
        <v>114</v>
      </c>
      <c r="B28" t="s">
        <v>84</v>
      </c>
      <c r="C28" t="s">
        <v>36</v>
      </c>
      <c r="D28" t="s">
        <v>29</v>
      </c>
      <c r="E28">
        <v>1999</v>
      </c>
      <c r="F28">
        <v>2</v>
      </c>
      <c r="G28">
        <v>3998</v>
      </c>
      <c r="H28" t="s">
        <v>62</v>
      </c>
      <c r="I28" t="s">
        <v>16</v>
      </c>
      <c r="J28" t="s">
        <v>25</v>
      </c>
      <c r="K28" t="s">
        <v>18</v>
      </c>
    </row>
    <row r="29" spans="1:11">
      <c r="A29" t="s">
        <v>115</v>
      </c>
      <c r="B29" t="s">
        <v>116</v>
      </c>
      <c r="C29" t="s">
        <v>80</v>
      </c>
      <c r="D29" t="s">
        <v>81</v>
      </c>
      <c r="E29">
        <v>299</v>
      </c>
      <c r="F29">
        <v>2</v>
      </c>
      <c r="G29">
        <v>598</v>
      </c>
      <c r="H29" t="s">
        <v>62</v>
      </c>
      <c r="I29" t="s">
        <v>98</v>
      </c>
      <c r="J29" t="s">
        <v>17</v>
      </c>
      <c r="K29" t="s">
        <v>45</v>
      </c>
    </row>
    <row r="30" spans="1:11">
      <c r="A30" t="s">
        <v>117</v>
      </c>
      <c r="B30" t="s">
        <v>118</v>
      </c>
      <c r="C30" t="s">
        <v>101</v>
      </c>
      <c r="D30" t="s">
        <v>81</v>
      </c>
      <c r="E30">
        <v>499</v>
      </c>
      <c r="F30">
        <v>1</v>
      </c>
      <c r="G30">
        <v>499</v>
      </c>
      <c r="H30" t="s">
        <v>119</v>
      </c>
      <c r="I30" t="s">
        <v>16</v>
      </c>
      <c r="J30" t="s">
        <v>25</v>
      </c>
      <c r="K30" t="s">
        <v>18</v>
      </c>
    </row>
    <row r="31" spans="1:11">
      <c r="A31" t="s">
        <v>120</v>
      </c>
      <c r="B31" t="s">
        <v>121</v>
      </c>
      <c r="C31" t="s">
        <v>122</v>
      </c>
      <c r="D31" t="s">
        <v>29</v>
      </c>
      <c r="E31">
        <v>1299</v>
      </c>
      <c r="F31">
        <v>1</v>
      </c>
      <c r="G31">
        <v>1299</v>
      </c>
      <c r="H31" t="s">
        <v>66</v>
      </c>
      <c r="I31" t="s">
        <v>63</v>
      </c>
      <c r="J31" t="s">
        <v>17</v>
      </c>
      <c r="K31" t="s">
        <v>18</v>
      </c>
    </row>
    <row r="32" spans="1:11">
      <c r="A32" t="s">
        <v>123</v>
      </c>
      <c r="B32" t="s">
        <v>124</v>
      </c>
      <c r="C32" t="s">
        <v>21</v>
      </c>
      <c r="D32" t="s">
        <v>22</v>
      </c>
      <c r="E32">
        <v>1499</v>
      </c>
      <c r="F32">
        <v>3</v>
      </c>
      <c r="G32">
        <v>4497</v>
      </c>
      <c r="H32" t="s">
        <v>71</v>
      </c>
      <c r="I32" t="s">
        <v>125</v>
      </c>
      <c r="J32" t="s">
        <v>38</v>
      </c>
      <c r="K32" t="s">
        <v>18</v>
      </c>
    </row>
    <row r="33" spans="1:11">
      <c r="A33" t="s">
        <v>126</v>
      </c>
      <c r="B33" t="s">
        <v>124</v>
      </c>
      <c r="C33" t="s">
        <v>87</v>
      </c>
      <c r="D33" t="s">
        <v>88</v>
      </c>
      <c r="E33">
        <v>5499</v>
      </c>
      <c r="F33">
        <v>4</v>
      </c>
      <c r="G33">
        <v>21996</v>
      </c>
      <c r="H33" t="s">
        <v>89</v>
      </c>
      <c r="I33" t="s">
        <v>82</v>
      </c>
      <c r="J33" t="s">
        <v>38</v>
      </c>
      <c r="K33" t="s">
        <v>18</v>
      </c>
    </row>
    <row r="34" spans="1:11">
      <c r="A34" t="s">
        <v>127</v>
      </c>
      <c r="B34" t="s">
        <v>128</v>
      </c>
      <c r="C34" t="s">
        <v>122</v>
      </c>
      <c r="D34" t="s">
        <v>29</v>
      </c>
      <c r="E34">
        <v>1299</v>
      </c>
      <c r="F34">
        <v>4</v>
      </c>
      <c r="G34">
        <v>5196</v>
      </c>
      <c r="H34" t="s">
        <v>23</v>
      </c>
      <c r="I34" t="s">
        <v>77</v>
      </c>
      <c r="J34" t="s">
        <v>38</v>
      </c>
      <c r="K34" t="s">
        <v>33</v>
      </c>
    </row>
    <row r="35" spans="1:11">
      <c r="A35" t="s">
        <v>129</v>
      </c>
      <c r="B35" t="s">
        <v>130</v>
      </c>
      <c r="C35" t="s">
        <v>87</v>
      </c>
      <c r="D35" t="s">
        <v>88</v>
      </c>
      <c r="E35">
        <v>5499</v>
      </c>
      <c r="F35">
        <v>4</v>
      </c>
      <c r="G35">
        <v>21996</v>
      </c>
      <c r="H35" t="s">
        <v>95</v>
      </c>
      <c r="I35" t="s">
        <v>16</v>
      </c>
      <c r="J35" t="s">
        <v>25</v>
      </c>
      <c r="K35" t="s">
        <v>45</v>
      </c>
    </row>
    <row r="36" spans="1:11">
      <c r="A36" t="s">
        <v>131</v>
      </c>
      <c r="B36" t="s">
        <v>132</v>
      </c>
      <c r="C36" t="s">
        <v>52</v>
      </c>
      <c r="D36" t="s">
        <v>53</v>
      </c>
      <c r="E36">
        <v>199</v>
      </c>
      <c r="F36">
        <v>2</v>
      </c>
      <c r="G36">
        <v>398</v>
      </c>
      <c r="H36" t="s">
        <v>119</v>
      </c>
      <c r="I36" t="s">
        <v>125</v>
      </c>
      <c r="J36" t="s">
        <v>25</v>
      </c>
      <c r="K36" t="s">
        <v>45</v>
      </c>
    </row>
    <row r="37" spans="1:11">
      <c r="A37" t="s">
        <v>133</v>
      </c>
      <c r="B37" t="s">
        <v>134</v>
      </c>
      <c r="C37" t="s">
        <v>135</v>
      </c>
      <c r="D37" t="s">
        <v>29</v>
      </c>
      <c r="E37">
        <v>3999</v>
      </c>
      <c r="F37">
        <v>5</v>
      </c>
      <c r="G37">
        <v>19995</v>
      </c>
      <c r="H37" t="s">
        <v>56</v>
      </c>
      <c r="I37" t="s">
        <v>57</v>
      </c>
      <c r="J37" t="s">
        <v>38</v>
      </c>
      <c r="K37" t="s">
        <v>18</v>
      </c>
    </row>
    <row r="38" spans="1:11">
      <c r="A38" t="s">
        <v>136</v>
      </c>
      <c r="B38" t="s">
        <v>137</v>
      </c>
      <c r="C38" t="s">
        <v>122</v>
      </c>
      <c r="D38" t="s">
        <v>29</v>
      </c>
      <c r="E38">
        <v>1299</v>
      </c>
      <c r="F38">
        <v>2</v>
      </c>
      <c r="G38">
        <v>2598</v>
      </c>
      <c r="H38" t="s">
        <v>30</v>
      </c>
      <c r="I38" t="s">
        <v>77</v>
      </c>
      <c r="J38" t="s">
        <v>25</v>
      </c>
      <c r="K38" t="s">
        <v>18</v>
      </c>
    </row>
    <row r="39" spans="1:11">
      <c r="A39" t="s">
        <v>138</v>
      </c>
      <c r="B39" t="s">
        <v>139</v>
      </c>
      <c r="C39" t="s">
        <v>135</v>
      </c>
      <c r="D39" t="s">
        <v>29</v>
      </c>
      <c r="E39">
        <v>3999</v>
      </c>
      <c r="F39">
        <v>1</v>
      </c>
      <c r="G39">
        <v>3999</v>
      </c>
      <c r="H39" t="s">
        <v>95</v>
      </c>
      <c r="I39" t="s">
        <v>63</v>
      </c>
      <c r="J39" t="s">
        <v>17</v>
      </c>
      <c r="K39" t="s">
        <v>18</v>
      </c>
    </row>
    <row r="40" spans="1:11">
      <c r="A40" t="s">
        <v>140</v>
      </c>
      <c r="B40" t="s">
        <v>141</v>
      </c>
      <c r="C40" t="s">
        <v>52</v>
      </c>
      <c r="D40" t="s">
        <v>53</v>
      </c>
      <c r="E40">
        <v>199</v>
      </c>
      <c r="F40">
        <v>2</v>
      </c>
      <c r="G40">
        <v>398</v>
      </c>
      <c r="H40" t="s">
        <v>56</v>
      </c>
      <c r="I40" t="s">
        <v>63</v>
      </c>
      <c r="J40" t="s">
        <v>38</v>
      </c>
      <c r="K40" t="s">
        <v>18</v>
      </c>
    </row>
    <row r="41" spans="1:11">
      <c r="A41" t="s">
        <v>142</v>
      </c>
      <c r="B41" t="s">
        <v>143</v>
      </c>
      <c r="C41" t="s">
        <v>135</v>
      </c>
      <c r="D41" t="s">
        <v>29</v>
      </c>
      <c r="E41">
        <v>3999</v>
      </c>
      <c r="F41">
        <v>4</v>
      </c>
      <c r="G41">
        <v>15996</v>
      </c>
      <c r="H41" t="s">
        <v>62</v>
      </c>
      <c r="I41" t="s">
        <v>31</v>
      </c>
      <c r="J41" t="s">
        <v>90</v>
      </c>
      <c r="K41" t="s">
        <v>33</v>
      </c>
    </row>
    <row r="42" spans="1:11">
      <c r="A42" t="s">
        <v>144</v>
      </c>
      <c r="B42" t="s">
        <v>145</v>
      </c>
      <c r="C42" t="s">
        <v>135</v>
      </c>
      <c r="D42" t="s">
        <v>29</v>
      </c>
      <c r="E42">
        <v>3999</v>
      </c>
      <c r="F42">
        <v>3</v>
      </c>
      <c r="G42">
        <v>11997</v>
      </c>
      <c r="H42" t="s">
        <v>71</v>
      </c>
      <c r="I42" t="s">
        <v>63</v>
      </c>
      <c r="J42" t="s">
        <v>17</v>
      </c>
      <c r="K42" t="s">
        <v>18</v>
      </c>
    </row>
    <row r="43" spans="1:11">
      <c r="A43" t="s">
        <v>146</v>
      </c>
      <c r="B43" t="s">
        <v>97</v>
      </c>
      <c r="C43" t="s">
        <v>52</v>
      </c>
      <c r="D43" t="s">
        <v>53</v>
      </c>
      <c r="E43">
        <v>199</v>
      </c>
      <c r="F43">
        <v>1</v>
      </c>
      <c r="G43">
        <v>199</v>
      </c>
      <c r="H43" t="s">
        <v>43</v>
      </c>
      <c r="I43" t="s">
        <v>67</v>
      </c>
      <c r="J43" t="s">
        <v>38</v>
      </c>
      <c r="K43" t="s">
        <v>45</v>
      </c>
    </row>
    <row r="44" spans="1:11">
      <c r="A44" t="s">
        <v>147</v>
      </c>
      <c r="B44" t="s">
        <v>148</v>
      </c>
      <c r="C44" t="s">
        <v>28</v>
      </c>
      <c r="D44" t="s">
        <v>29</v>
      </c>
      <c r="E44">
        <v>1299</v>
      </c>
      <c r="F44">
        <v>2</v>
      </c>
      <c r="G44">
        <v>2598</v>
      </c>
      <c r="H44" t="s">
        <v>62</v>
      </c>
      <c r="I44" t="s">
        <v>57</v>
      </c>
      <c r="J44" t="s">
        <v>25</v>
      </c>
      <c r="K44" t="s">
        <v>33</v>
      </c>
    </row>
    <row r="45" spans="1:11">
      <c r="A45" t="s">
        <v>149</v>
      </c>
      <c r="B45" t="s">
        <v>150</v>
      </c>
      <c r="C45" t="s">
        <v>101</v>
      </c>
      <c r="D45" t="s">
        <v>81</v>
      </c>
      <c r="E45">
        <v>499</v>
      </c>
      <c r="F45">
        <v>5</v>
      </c>
      <c r="G45">
        <v>2495</v>
      </c>
      <c r="H45" t="s">
        <v>56</v>
      </c>
      <c r="I45" t="s">
        <v>63</v>
      </c>
      <c r="J45" t="s">
        <v>25</v>
      </c>
      <c r="K45" t="s">
        <v>45</v>
      </c>
    </row>
    <row r="46" spans="1:11">
      <c r="A46" t="s">
        <v>151</v>
      </c>
      <c r="B46" t="s">
        <v>152</v>
      </c>
      <c r="C46" t="s">
        <v>101</v>
      </c>
      <c r="D46" t="s">
        <v>81</v>
      </c>
      <c r="E46">
        <v>499</v>
      </c>
      <c r="F46">
        <v>3</v>
      </c>
      <c r="G46">
        <v>1497</v>
      </c>
      <c r="H46" t="s">
        <v>43</v>
      </c>
      <c r="I46" t="s">
        <v>67</v>
      </c>
      <c r="J46" t="s">
        <v>38</v>
      </c>
      <c r="K46" t="s">
        <v>18</v>
      </c>
    </row>
    <row r="47" spans="1:11">
      <c r="A47" t="s">
        <v>153</v>
      </c>
      <c r="B47" t="s">
        <v>154</v>
      </c>
      <c r="C47" t="s">
        <v>70</v>
      </c>
      <c r="D47" t="s">
        <v>29</v>
      </c>
      <c r="E47">
        <v>799</v>
      </c>
      <c r="F47">
        <v>3</v>
      </c>
      <c r="G47">
        <v>2397</v>
      </c>
      <c r="H47" t="s">
        <v>30</v>
      </c>
      <c r="I47" t="s">
        <v>67</v>
      </c>
      <c r="J47" t="s">
        <v>90</v>
      </c>
      <c r="K47" t="s">
        <v>33</v>
      </c>
    </row>
    <row r="48" spans="1:11">
      <c r="A48" t="s">
        <v>155</v>
      </c>
      <c r="B48" t="s">
        <v>156</v>
      </c>
      <c r="C48" t="s">
        <v>48</v>
      </c>
      <c r="D48" t="s">
        <v>49</v>
      </c>
      <c r="E48">
        <v>699</v>
      </c>
      <c r="F48">
        <v>2</v>
      </c>
      <c r="G48">
        <v>1398</v>
      </c>
      <c r="H48" t="s">
        <v>157</v>
      </c>
      <c r="I48" t="s">
        <v>98</v>
      </c>
      <c r="J48" t="s">
        <v>32</v>
      </c>
      <c r="K48" t="s">
        <v>18</v>
      </c>
    </row>
    <row r="49" spans="1:11">
      <c r="A49" t="s">
        <v>158</v>
      </c>
      <c r="B49" t="s">
        <v>159</v>
      </c>
      <c r="C49" t="s">
        <v>135</v>
      </c>
      <c r="D49" t="s">
        <v>29</v>
      </c>
      <c r="E49">
        <v>3999</v>
      </c>
      <c r="F49">
        <v>4</v>
      </c>
      <c r="G49">
        <v>15996</v>
      </c>
      <c r="H49" t="s">
        <v>119</v>
      </c>
      <c r="I49" t="s">
        <v>44</v>
      </c>
      <c r="J49" t="s">
        <v>32</v>
      </c>
      <c r="K49" t="s">
        <v>18</v>
      </c>
    </row>
    <row r="50" spans="1:11">
      <c r="A50" t="s">
        <v>160</v>
      </c>
      <c r="B50" t="s">
        <v>161</v>
      </c>
      <c r="C50" t="s">
        <v>162</v>
      </c>
      <c r="D50" t="s">
        <v>29</v>
      </c>
      <c r="E50">
        <v>1799</v>
      </c>
      <c r="F50">
        <v>4</v>
      </c>
      <c r="G50">
        <v>7196</v>
      </c>
      <c r="H50" t="s">
        <v>157</v>
      </c>
      <c r="I50" t="s">
        <v>105</v>
      </c>
      <c r="J50" t="s">
        <v>32</v>
      </c>
      <c r="K50" t="s">
        <v>45</v>
      </c>
    </row>
    <row r="51" spans="1:11">
      <c r="A51" t="s">
        <v>163</v>
      </c>
      <c r="B51" t="s">
        <v>164</v>
      </c>
      <c r="C51" t="s">
        <v>87</v>
      </c>
      <c r="D51" t="s">
        <v>88</v>
      </c>
      <c r="E51">
        <v>5499</v>
      </c>
      <c r="F51">
        <v>2</v>
      </c>
      <c r="G51">
        <v>10998</v>
      </c>
      <c r="H51" t="s">
        <v>66</v>
      </c>
      <c r="I51" t="s">
        <v>105</v>
      </c>
      <c r="J51" t="s">
        <v>25</v>
      </c>
      <c r="K51" t="s">
        <v>18</v>
      </c>
    </row>
    <row r="52" spans="1:11">
      <c r="A52" t="s">
        <v>165</v>
      </c>
      <c r="B52" t="s">
        <v>164</v>
      </c>
      <c r="C52" t="s">
        <v>70</v>
      </c>
      <c r="D52" t="s">
        <v>29</v>
      </c>
      <c r="E52">
        <v>799</v>
      </c>
      <c r="F52">
        <v>2</v>
      </c>
      <c r="G52">
        <v>1598</v>
      </c>
      <c r="H52" t="s">
        <v>89</v>
      </c>
      <c r="I52" t="s">
        <v>82</v>
      </c>
      <c r="J52" t="s">
        <v>32</v>
      </c>
      <c r="K52" t="s">
        <v>18</v>
      </c>
    </row>
    <row r="53" spans="1:11">
      <c r="A53" t="s">
        <v>166</v>
      </c>
      <c r="B53" t="s">
        <v>167</v>
      </c>
      <c r="C53" t="s">
        <v>60</v>
      </c>
      <c r="D53" t="s">
        <v>61</v>
      </c>
      <c r="E53">
        <v>899</v>
      </c>
      <c r="F53">
        <v>1</v>
      </c>
      <c r="G53">
        <v>899</v>
      </c>
      <c r="H53" t="s">
        <v>37</v>
      </c>
      <c r="I53" t="s">
        <v>57</v>
      </c>
      <c r="J53" t="s">
        <v>38</v>
      </c>
      <c r="K53" t="s">
        <v>18</v>
      </c>
    </row>
    <row r="54" spans="1:11">
      <c r="A54" t="s">
        <v>168</v>
      </c>
      <c r="B54" t="s">
        <v>169</v>
      </c>
      <c r="C54" t="s">
        <v>162</v>
      </c>
      <c r="D54" t="s">
        <v>29</v>
      </c>
      <c r="E54">
        <v>1799</v>
      </c>
      <c r="F54">
        <v>3</v>
      </c>
      <c r="G54">
        <v>5397</v>
      </c>
      <c r="H54" t="s">
        <v>119</v>
      </c>
      <c r="I54" t="s">
        <v>57</v>
      </c>
      <c r="J54" t="s">
        <v>90</v>
      </c>
      <c r="K54" t="s">
        <v>18</v>
      </c>
    </row>
    <row r="55" spans="1:11">
      <c r="A55" t="s">
        <v>170</v>
      </c>
      <c r="B55" t="s">
        <v>171</v>
      </c>
      <c r="C55" t="s">
        <v>70</v>
      </c>
      <c r="D55" t="s">
        <v>29</v>
      </c>
      <c r="E55">
        <v>799</v>
      </c>
      <c r="F55">
        <v>3</v>
      </c>
      <c r="G55">
        <v>2397</v>
      </c>
      <c r="H55" t="s">
        <v>71</v>
      </c>
      <c r="I55" t="s">
        <v>125</v>
      </c>
      <c r="J55" t="s">
        <v>90</v>
      </c>
      <c r="K55" t="s">
        <v>45</v>
      </c>
    </row>
    <row r="56" spans="1:11">
      <c r="A56" t="s">
        <v>172</v>
      </c>
      <c r="B56" t="s">
        <v>173</v>
      </c>
      <c r="C56" t="s">
        <v>13</v>
      </c>
      <c r="D56" t="s">
        <v>14</v>
      </c>
      <c r="E56">
        <v>2499</v>
      </c>
      <c r="F56">
        <v>5</v>
      </c>
      <c r="G56">
        <v>12495</v>
      </c>
      <c r="H56" t="s">
        <v>95</v>
      </c>
      <c r="I56" t="s">
        <v>24</v>
      </c>
      <c r="J56" t="s">
        <v>90</v>
      </c>
      <c r="K56" t="s">
        <v>18</v>
      </c>
    </row>
    <row r="57" spans="1:11">
      <c r="A57" t="s">
        <v>174</v>
      </c>
      <c r="B57" t="s">
        <v>175</v>
      </c>
      <c r="C57" t="s">
        <v>122</v>
      </c>
      <c r="D57" t="s">
        <v>29</v>
      </c>
      <c r="E57">
        <v>1299</v>
      </c>
      <c r="F57">
        <v>4</v>
      </c>
      <c r="G57">
        <v>5196</v>
      </c>
      <c r="H57" t="s">
        <v>15</v>
      </c>
      <c r="I57" t="s">
        <v>63</v>
      </c>
      <c r="J57" t="s">
        <v>25</v>
      </c>
      <c r="K57" t="s">
        <v>33</v>
      </c>
    </row>
    <row r="58" spans="1:11">
      <c r="A58" t="s">
        <v>176</v>
      </c>
      <c r="B58" t="s">
        <v>177</v>
      </c>
      <c r="C58" t="s">
        <v>48</v>
      </c>
      <c r="D58" t="s">
        <v>49</v>
      </c>
      <c r="E58">
        <v>699</v>
      </c>
      <c r="F58">
        <v>4</v>
      </c>
      <c r="G58">
        <v>2796</v>
      </c>
      <c r="H58" t="s">
        <v>43</v>
      </c>
      <c r="I58" t="s">
        <v>16</v>
      </c>
      <c r="J58" t="s">
        <v>25</v>
      </c>
      <c r="K58" t="s">
        <v>18</v>
      </c>
    </row>
    <row r="59" spans="1:11">
      <c r="A59" t="s">
        <v>178</v>
      </c>
      <c r="B59" t="s">
        <v>179</v>
      </c>
      <c r="C59" t="s">
        <v>48</v>
      </c>
      <c r="D59" t="s">
        <v>49</v>
      </c>
      <c r="E59">
        <v>699</v>
      </c>
      <c r="F59">
        <v>2</v>
      </c>
      <c r="G59">
        <v>1398</v>
      </c>
      <c r="H59" t="s">
        <v>43</v>
      </c>
      <c r="I59" t="s">
        <v>24</v>
      </c>
      <c r="J59" t="s">
        <v>25</v>
      </c>
      <c r="K59" t="s">
        <v>18</v>
      </c>
    </row>
    <row r="60" spans="1:11">
      <c r="A60" t="s">
        <v>180</v>
      </c>
      <c r="B60" t="s">
        <v>104</v>
      </c>
      <c r="C60" t="s">
        <v>80</v>
      </c>
      <c r="D60" t="s">
        <v>81</v>
      </c>
      <c r="E60">
        <v>299</v>
      </c>
      <c r="F60">
        <v>5</v>
      </c>
      <c r="G60">
        <v>1495</v>
      </c>
      <c r="H60" t="s">
        <v>30</v>
      </c>
      <c r="I60" t="s">
        <v>63</v>
      </c>
      <c r="J60" t="s">
        <v>32</v>
      </c>
      <c r="K60" t="s">
        <v>45</v>
      </c>
    </row>
    <row r="61" spans="1:11">
      <c r="A61" t="s">
        <v>181</v>
      </c>
      <c r="B61" t="s">
        <v>65</v>
      </c>
      <c r="C61" t="s">
        <v>28</v>
      </c>
      <c r="D61" t="s">
        <v>29</v>
      </c>
      <c r="E61">
        <v>1299</v>
      </c>
      <c r="F61">
        <v>3</v>
      </c>
      <c r="G61">
        <v>3897</v>
      </c>
      <c r="H61" t="s">
        <v>62</v>
      </c>
      <c r="I61" t="s">
        <v>67</v>
      </c>
      <c r="J61" t="s">
        <v>90</v>
      </c>
      <c r="K61" t="s">
        <v>45</v>
      </c>
    </row>
    <row r="62" spans="1:11">
      <c r="A62" t="s">
        <v>182</v>
      </c>
      <c r="B62" t="s">
        <v>183</v>
      </c>
      <c r="C62" t="s">
        <v>28</v>
      </c>
      <c r="D62" t="s">
        <v>29</v>
      </c>
      <c r="E62">
        <v>1299</v>
      </c>
      <c r="F62">
        <v>5</v>
      </c>
      <c r="G62">
        <v>6495</v>
      </c>
      <c r="H62" t="s">
        <v>30</v>
      </c>
      <c r="I62" t="s">
        <v>24</v>
      </c>
      <c r="J62" t="s">
        <v>90</v>
      </c>
      <c r="K62" t="s">
        <v>18</v>
      </c>
    </row>
    <row r="63" spans="1:11">
      <c r="A63" t="s">
        <v>184</v>
      </c>
      <c r="B63" t="s">
        <v>185</v>
      </c>
      <c r="C63" t="s">
        <v>60</v>
      </c>
      <c r="D63" t="s">
        <v>61</v>
      </c>
      <c r="E63">
        <v>899</v>
      </c>
      <c r="F63">
        <v>5</v>
      </c>
      <c r="G63">
        <v>4495</v>
      </c>
      <c r="H63" t="s">
        <v>186</v>
      </c>
      <c r="I63" t="s">
        <v>67</v>
      </c>
      <c r="J63" t="s">
        <v>38</v>
      </c>
      <c r="K63" t="s">
        <v>18</v>
      </c>
    </row>
    <row r="64" spans="1:11">
      <c r="A64" t="s">
        <v>187</v>
      </c>
      <c r="B64" t="s">
        <v>92</v>
      </c>
      <c r="C64" t="s">
        <v>76</v>
      </c>
      <c r="D64" t="s">
        <v>49</v>
      </c>
      <c r="E64">
        <v>1599</v>
      </c>
      <c r="F64">
        <v>4</v>
      </c>
      <c r="G64">
        <v>6396</v>
      </c>
      <c r="H64" t="s">
        <v>56</v>
      </c>
      <c r="I64" t="s">
        <v>31</v>
      </c>
      <c r="J64" t="s">
        <v>25</v>
      </c>
      <c r="K64" t="s">
        <v>33</v>
      </c>
    </row>
    <row r="65" spans="1:11">
      <c r="A65" t="s">
        <v>188</v>
      </c>
      <c r="B65" t="s">
        <v>189</v>
      </c>
      <c r="C65" t="s">
        <v>36</v>
      </c>
      <c r="D65" t="s">
        <v>29</v>
      </c>
      <c r="E65">
        <v>1999</v>
      </c>
      <c r="F65">
        <v>5</v>
      </c>
      <c r="G65">
        <v>9995</v>
      </c>
      <c r="H65" t="s">
        <v>119</v>
      </c>
      <c r="I65" t="s">
        <v>82</v>
      </c>
      <c r="J65" t="s">
        <v>38</v>
      </c>
      <c r="K65" t="s">
        <v>45</v>
      </c>
    </row>
    <row r="66" spans="1:11">
      <c r="A66" t="s">
        <v>190</v>
      </c>
      <c r="B66" t="s">
        <v>173</v>
      </c>
      <c r="C66" t="s">
        <v>162</v>
      </c>
      <c r="D66" t="s">
        <v>29</v>
      </c>
      <c r="E66">
        <v>1799</v>
      </c>
      <c r="F66">
        <v>5</v>
      </c>
      <c r="G66">
        <v>8995</v>
      </c>
      <c r="H66" t="s">
        <v>102</v>
      </c>
      <c r="I66" t="s">
        <v>31</v>
      </c>
      <c r="J66" t="s">
        <v>32</v>
      </c>
      <c r="K66" t="s">
        <v>33</v>
      </c>
    </row>
    <row r="67" spans="1:11">
      <c r="A67" t="s">
        <v>191</v>
      </c>
      <c r="B67" t="s">
        <v>192</v>
      </c>
      <c r="C67" t="s">
        <v>60</v>
      </c>
      <c r="D67" t="s">
        <v>61</v>
      </c>
      <c r="E67">
        <v>899</v>
      </c>
      <c r="F67">
        <v>3</v>
      </c>
      <c r="G67">
        <v>2697</v>
      </c>
      <c r="H67" t="s">
        <v>157</v>
      </c>
      <c r="I67" t="s">
        <v>98</v>
      </c>
      <c r="J67" t="s">
        <v>25</v>
      </c>
      <c r="K67" t="s">
        <v>18</v>
      </c>
    </row>
    <row r="68" spans="1:11">
      <c r="A68" t="s">
        <v>193</v>
      </c>
      <c r="B68" t="s">
        <v>132</v>
      </c>
      <c r="C68" t="s">
        <v>70</v>
      </c>
      <c r="D68" t="s">
        <v>29</v>
      </c>
      <c r="E68">
        <v>799</v>
      </c>
      <c r="F68">
        <v>2</v>
      </c>
      <c r="G68">
        <v>1598</v>
      </c>
      <c r="H68" t="s">
        <v>15</v>
      </c>
      <c r="I68" t="s">
        <v>125</v>
      </c>
      <c r="J68" t="s">
        <v>38</v>
      </c>
      <c r="K68" t="s">
        <v>18</v>
      </c>
    </row>
    <row r="69" spans="1:11">
      <c r="A69" t="s">
        <v>194</v>
      </c>
      <c r="B69" t="s">
        <v>183</v>
      </c>
      <c r="C69" t="s">
        <v>70</v>
      </c>
      <c r="D69" t="s">
        <v>29</v>
      </c>
      <c r="E69">
        <v>799</v>
      </c>
      <c r="F69">
        <v>5</v>
      </c>
      <c r="G69">
        <v>3995</v>
      </c>
      <c r="H69" t="s">
        <v>89</v>
      </c>
      <c r="I69" t="s">
        <v>77</v>
      </c>
      <c r="J69" t="s">
        <v>25</v>
      </c>
      <c r="K69" t="s">
        <v>45</v>
      </c>
    </row>
    <row r="70" spans="1:11">
      <c r="A70" t="s">
        <v>195</v>
      </c>
      <c r="B70" t="s">
        <v>196</v>
      </c>
      <c r="C70" t="s">
        <v>122</v>
      </c>
      <c r="D70" t="s">
        <v>29</v>
      </c>
      <c r="E70">
        <v>1299</v>
      </c>
      <c r="F70">
        <v>2</v>
      </c>
      <c r="G70">
        <v>2598</v>
      </c>
      <c r="H70" t="s">
        <v>102</v>
      </c>
      <c r="I70" t="s">
        <v>57</v>
      </c>
      <c r="J70" t="s">
        <v>25</v>
      </c>
      <c r="K70" t="s">
        <v>45</v>
      </c>
    </row>
    <row r="71" spans="1:11">
      <c r="A71" t="s">
        <v>197</v>
      </c>
      <c r="B71" t="s">
        <v>198</v>
      </c>
      <c r="C71" t="s">
        <v>21</v>
      </c>
      <c r="D71" t="s">
        <v>22</v>
      </c>
      <c r="E71">
        <v>1499</v>
      </c>
      <c r="F71">
        <v>2</v>
      </c>
      <c r="G71">
        <v>2998</v>
      </c>
      <c r="H71" t="s">
        <v>89</v>
      </c>
      <c r="I71" t="s">
        <v>24</v>
      </c>
      <c r="J71" t="s">
        <v>90</v>
      </c>
      <c r="K71" t="s">
        <v>18</v>
      </c>
    </row>
    <row r="72" spans="1:11">
      <c r="A72" t="s">
        <v>199</v>
      </c>
      <c r="B72" t="s">
        <v>200</v>
      </c>
      <c r="C72" t="s">
        <v>36</v>
      </c>
      <c r="D72" t="s">
        <v>29</v>
      </c>
      <c r="E72">
        <v>1999</v>
      </c>
      <c r="F72">
        <v>2</v>
      </c>
      <c r="G72">
        <v>3998</v>
      </c>
      <c r="H72" t="s">
        <v>23</v>
      </c>
      <c r="I72" t="s">
        <v>125</v>
      </c>
      <c r="J72" t="s">
        <v>32</v>
      </c>
      <c r="K72" t="s">
        <v>18</v>
      </c>
    </row>
    <row r="73" spans="1:11">
      <c r="A73" t="s">
        <v>201</v>
      </c>
      <c r="B73" t="s">
        <v>104</v>
      </c>
      <c r="C73" t="s">
        <v>13</v>
      </c>
      <c r="D73" t="s">
        <v>14</v>
      </c>
      <c r="E73">
        <v>2499</v>
      </c>
      <c r="F73">
        <v>3</v>
      </c>
      <c r="G73">
        <v>7497</v>
      </c>
      <c r="H73" t="s">
        <v>37</v>
      </c>
      <c r="I73" t="s">
        <v>24</v>
      </c>
      <c r="J73" t="s">
        <v>17</v>
      </c>
      <c r="K73" t="s">
        <v>33</v>
      </c>
    </row>
    <row r="74" spans="1:11">
      <c r="A74" t="s">
        <v>202</v>
      </c>
      <c r="B74" t="s">
        <v>203</v>
      </c>
      <c r="C74" t="s">
        <v>13</v>
      </c>
      <c r="D74" t="s">
        <v>14</v>
      </c>
      <c r="E74">
        <v>2499</v>
      </c>
      <c r="F74">
        <v>2</v>
      </c>
      <c r="G74">
        <v>4998</v>
      </c>
      <c r="H74" t="s">
        <v>66</v>
      </c>
      <c r="I74" t="s">
        <v>82</v>
      </c>
      <c r="J74" t="s">
        <v>17</v>
      </c>
      <c r="K74" t="s">
        <v>18</v>
      </c>
    </row>
    <row r="75" spans="1:11">
      <c r="A75" t="s">
        <v>204</v>
      </c>
      <c r="B75" t="s">
        <v>205</v>
      </c>
      <c r="C75" t="s">
        <v>52</v>
      </c>
      <c r="D75" t="s">
        <v>53</v>
      </c>
      <c r="E75">
        <v>199</v>
      </c>
      <c r="F75">
        <v>1</v>
      </c>
      <c r="G75">
        <v>199</v>
      </c>
      <c r="H75" t="s">
        <v>43</v>
      </c>
      <c r="I75" t="s">
        <v>57</v>
      </c>
      <c r="J75" t="s">
        <v>25</v>
      </c>
      <c r="K75" t="s">
        <v>18</v>
      </c>
    </row>
    <row r="76" spans="1:11">
      <c r="A76" t="s">
        <v>206</v>
      </c>
      <c r="B76" t="s">
        <v>207</v>
      </c>
      <c r="C76" t="s">
        <v>48</v>
      </c>
      <c r="D76" t="s">
        <v>49</v>
      </c>
      <c r="E76">
        <v>699</v>
      </c>
      <c r="F76">
        <v>4</v>
      </c>
      <c r="G76">
        <v>2796</v>
      </c>
      <c r="H76" t="s">
        <v>15</v>
      </c>
      <c r="I76" t="s">
        <v>67</v>
      </c>
      <c r="J76" t="s">
        <v>25</v>
      </c>
      <c r="K76" t="s">
        <v>18</v>
      </c>
    </row>
    <row r="77" spans="1:11">
      <c r="A77" t="s">
        <v>208</v>
      </c>
      <c r="B77" t="s">
        <v>100</v>
      </c>
      <c r="C77" t="s">
        <v>21</v>
      </c>
      <c r="D77" t="s">
        <v>22</v>
      </c>
      <c r="E77">
        <v>1499</v>
      </c>
      <c r="F77">
        <v>3</v>
      </c>
      <c r="G77">
        <v>4497</v>
      </c>
      <c r="H77" t="s">
        <v>71</v>
      </c>
      <c r="I77" t="s">
        <v>67</v>
      </c>
      <c r="J77" t="s">
        <v>38</v>
      </c>
      <c r="K77" t="s">
        <v>18</v>
      </c>
    </row>
    <row r="78" spans="1:11">
      <c r="A78" t="s">
        <v>209</v>
      </c>
      <c r="B78" t="s">
        <v>210</v>
      </c>
      <c r="C78" t="s">
        <v>87</v>
      </c>
      <c r="D78" t="s">
        <v>88</v>
      </c>
      <c r="E78">
        <v>5499</v>
      </c>
      <c r="F78">
        <v>5</v>
      </c>
      <c r="G78">
        <v>27495</v>
      </c>
      <c r="H78" t="s">
        <v>102</v>
      </c>
      <c r="I78" t="s">
        <v>57</v>
      </c>
      <c r="J78" t="s">
        <v>25</v>
      </c>
      <c r="K78" t="s">
        <v>45</v>
      </c>
    </row>
    <row r="79" spans="1:11">
      <c r="A79" t="s">
        <v>211</v>
      </c>
      <c r="B79" t="s">
        <v>212</v>
      </c>
      <c r="C79" t="s">
        <v>60</v>
      </c>
      <c r="D79" t="s">
        <v>61</v>
      </c>
      <c r="E79">
        <v>899</v>
      </c>
      <c r="F79">
        <v>2</v>
      </c>
      <c r="G79">
        <v>1798</v>
      </c>
      <c r="H79" t="s">
        <v>43</v>
      </c>
      <c r="I79" t="s">
        <v>63</v>
      </c>
      <c r="J79" t="s">
        <v>32</v>
      </c>
      <c r="K79" t="s">
        <v>45</v>
      </c>
    </row>
    <row r="80" spans="1:11">
      <c r="A80" t="s">
        <v>213</v>
      </c>
      <c r="B80" t="s">
        <v>121</v>
      </c>
      <c r="C80" t="s">
        <v>21</v>
      </c>
      <c r="D80" t="s">
        <v>22</v>
      </c>
      <c r="E80">
        <v>1499</v>
      </c>
      <c r="F80">
        <v>5</v>
      </c>
      <c r="G80">
        <v>7495</v>
      </c>
      <c r="H80" t="s">
        <v>66</v>
      </c>
      <c r="I80" t="s">
        <v>67</v>
      </c>
      <c r="J80" t="s">
        <v>32</v>
      </c>
      <c r="K80" t="s">
        <v>18</v>
      </c>
    </row>
    <row r="81" spans="1:11">
      <c r="A81" t="s">
        <v>214</v>
      </c>
      <c r="B81" t="s">
        <v>215</v>
      </c>
      <c r="C81" t="s">
        <v>101</v>
      </c>
      <c r="D81" t="s">
        <v>81</v>
      </c>
      <c r="E81">
        <v>499</v>
      </c>
      <c r="F81">
        <v>1</v>
      </c>
      <c r="G81">
        <v>499</v>
      </c>
      <c r="H81" t="s">
        <v>30</v>
      </c>
      <c r="I81" t="s">
        <v>77</v>
      </c>
      <c r="J81" t="s">
        <v>25</v>
      </c>
      <c r="K81" t="s">
        <v>45</v>
      </c>
    </row>
    <row r="82" spans="1:11">
      <c r="A82" t="s">
        <v>216</v>
      </c>
      <c r="B82" t="s">
        <v>217</v>
      </c>
      <c r="C82" t="s">
        <v>36</v>
      </c>
      <c r="D82" t="s">
        <v>29</v>
      </c>
      <c r="E82">
        <v>1999</v>
      </c>
      <c r="F82">
        <v>1</v>
      </c>
      <c r="G82">
        <v>1999</v>
      </c>
      <c r="H82" t="s">
        <v>71</v>
      </c>
      <c r="I82" t="s">
        <v>82</v>
      </c>
      <c r="J82" t="s">
        <v>32</v>
      </c>
      <c r="K82" t="s">
        <v>18</v>
      </c>
    </row>
    <row r="83" spans="1:11">
      <c r="A83" t="s">
        <v>218</v>
      </c>
      <c r="B83" t="s">
        <v>219</v>
      </c>
      <c r="C83" t="s">
        <v>28</v>
      </c>
      <c r="D83" t="s">
        <v>29</v>
      </c>
      <c r="E83">
        <v>1299</v>
      </c>
      <c r="F83">
        <v>2</v>
      </c>
      <c r="G83">
        <v>2598</v>
      </c>
      <c r="H83" t="s">
        <v>15</v>
      </c>
      <c r="I83" t="s">
        <v>24</v>
      </c>
      <c r="J83" t="s">
        <v>17</v>
      </c>
      <c r="K83" t="s">
        <v>18</v>
      </c>
    </row>
    <row r="84" spans="1:11">
      <c r="A84" t="s">
        <v>220</v>
      </c>
      <c r="B84" t="s">
        <v>221</v>
      </c>
      <c r="C84" t="s">
        <v>87</v>
      </c>
      <c r="D84" t="s">
        <v>88</v>
      </c>
      <c r="E84">
        <v>5499</v>
      </c>
      <c r="F84">
        <v>3</v>
      </c>
      <c r="G84">
        <v>16497</v>
      </c>
      <c r="H84" t="s">
        <v>119</v>
      </c>
      <c r="I84" t="s">
        <v>67</v>
      </c>
      <c r="J84" t="s">
        <v>38</v>
      </c>
      <c r="K84" t="s">
        <v>33</v>
      </c>
    </row>
    <row r="85" spans="1:11">
      <c r="A85" t="s">
        <v>222</v>
      </c>
      <c r="B85" t="s">
        <v>132</v>
      </c>
      <c r="C85" t="s">
        <v>101</v>
      </c>
      <c r="D85" t="s">
        <v>81</v>
      </c>
      <c r="E85">
        <v>499</v>
      </c>
      <c r="F85">
        <v>5</v>
      </c>
      <c r="G85">
        <v>2495</v>
      </c>
      <c r="H85" t="s">
        <v>66</v>
      </c>
      <c r="I85" t="s">
        <v>44</v>
      </c>
      <c r="J85" t="s">
        <v>25</v>
      </c>
      <c r="K85" t="s">
        <v>45</v>
      </c>
    </row>
    <row r="86" spans="1:11">
      <c r="A86" t="s">
        <v>223</v>
      </c>
      <c r="B86" t="s">
        <v>224</v>
      </c>
      <c r="C86" t="s">
        <v>48</v>
      </c>
      <c r="D86" t="s">
        <v>49</v>
      </c>
      <c r="E86">
        <v>699</v>
      </c>
      <c r="F86">
        <v>5</v>
      </c>
      <c r="G86">
        <v>3495</v>
      </c>
      <c r="H86" t="s">
        <v>56</v>
      </c>
      <c r="I86" t="s">
        <v>57</v>
      </c>
      <c r="J86" t="s">
        <v>32</v>
      </c>
      <c r="K86" t="s">
        <v>33</v>
      </c>
    </row>
    <row r="87" spans="1:11">
      <c r="A87" t="s">
        <v>225</v>
      </c>
      <c r="B87" t="s">
        <v>148</v>
      </c>
      <c r="C87" t="s">
        <v>76</v>
      </c>
      <c r="D87" t="s">
        <v>49</v>
      </c>
      <c r="E87">
        <v>1599</v>
      </c>
      <c r="F87">
        <v>3</v>
      </c>
      <c r="G87">
        <v>4797</v>
      </c>
      <c r="H87" t="s">
        <v>15</v>
      </c>
      <c r="I87" t="s">
        <v>82</v>
      </c>
      <c r="J87" t="s">
        <v>17</v>
      </c>
      <c r="K87" t="s">
        <v>45</v>
      </c>
    </row>
    <row r="88" spans="1:11">
      <c r="A88" t="s">
        <v>226</v>
      </c>
      <c r="B88" t="s">
        <v>227</v>
      </c>
      <c r="C88" t="s">
        <v>60</v>
      </c>
      <c r="D88" t="s">
        <v>61</v>
      </c>
      <c r="E88">
        <v>899</v>
      </c>
      <c r="F88">
        <v>4</v>
      </c>
      <c r="G88">
        <v>3596</v>
      </c>
      <c r="H88" t="s">
        <v>30</v>
      </c>
      <c r="I88" t="s">
        <v>67</v>
      </c>
      <c r="J88" t="s">
        <v>90</v>
      </c>
      <c r="K88" t="s">
        <v>33</v>
      </c>
    </row>
    <row r="89" spans="1:11">
      <c r="A89" t="s">
        <v>228</v>
      </c>
      <c r="B89" t="s">
        <v>229</v>
      </c>
      <c r="C89" t="s">
        <v>28</v>
      </c>
      <c r="D89" t="s">
        <v>29</v>
      </c>
      <c r="E89">
        <v>1299</v>
      </c>
      <c r="F89">
        <v>1</v>
      </c>
      <c r="G89">
        <v>1299</v>
      </c>
      <c r="H89" t="s">
        <v>15</v>
      </c>
      <c r="I89" t="s">
        <v>44</v>
      </c>
      <c r="J89" t="s">
        <v>38</v>
      </c>
      <c r="K89" t="s">
        <v>45</v>
      </c>
    </row>
    <row r="90" spans="1:11">
      <c r="A90" t="s">
        <v>230</v>
      </c>
      <c r="B90" t="s">
        <v>231</v>
      </c>
      <c r="C90" t="s">
        <v>21</v>
      </c>
      <c r="D90" t="s">
        <v>22</v>
      </c>
      <c r="E90">
        <v>1499</v>
      </c>
      <c r="F90">
        <v>4</v>
      </c>
      <c r="G90">
        <v>5996</v>
      </c>
      <c r="H90" t="s">
        <v>186</v>
      </c>
      <c r="I90" t="s">
        <v>77</v>
      </c>
      <c r="J90" t="s">
        <v>38</v>
      </c>
      <c r="K90" t="s">
        <v>33</v>
      </c>
    </row>
    <row r="91" spans="1:11">
      <c r="A91" t="s">
        <v>232</v>
      </c>
      <c r="B91" t="s">
        <v>161</v>
      </c>
      <c r="C91" t="s">
        <v>21</v>
      </c>
      <c r="D91" t="s">
        <v>22</v>
      </c>
      <c r="E91">
        <v>1499</v>
      </c>
      <c r="F91">
        <v>5</v>
      </c>
      <c r="G91">
        <v>7495</v>
      </c>
      <c r="H91" t="s">
        <v>102</v>
      </c>
      <c r="I91" t="s">
        <v>31</v>
      </c>
      <c r="J91" t="s">
        <v>90</v>
      </c>
      <c r="K91" t="s">
        <v>18</v>
      </c>
    </row>
    <row r="92" spans="1:11">
      <c r="A92" t="s">
        <v>233</v>
      </c>
      <c r="B92" t="s">
        <v>234</v>
      </c>
      <c r="C92" t="s">
        <v>52</v>
      </c>
      <c r="D92" t="s">
        <v>53</v>
      </c>
      <c r="E92">
        <v>199</v>
      </c>
      <c r="F92">
        <v>4</v>
      </c>
      <c r="G92">
        <v>796</v>
      </c>
      <c r="H92" t="s">
        <v>56</v>
      </c>
      <c r="I92" t="s">
        <v>63</v>
      </c>
      <c r="J92" t="s">
        <v>25</v>
      </c>
      <c r="K92" t="s">
        <v>45</v>
      </c>
    </row>
    <row r="93" spans="1:11">
      <c r="A93" t="s">
        <v>235</v>
      </c>
      <c r="B93" t="s">
        <v>128</v>
      </c>
      <c r="C93" t="s">
        <v>28</v>
      </c>
      <c r="D93" t="s">
        <v>29</v>
      </c>
      <c r="E93">
        <v>1299</v>
      </c>
      <c r="F93">
        <v>3</v>
      </c>
      <c r="G93">
        <v>3897</v>
      </c>
      <c r="H93" t="s">
        <v>62</v>
      </c>
      <c r="I93" t="s">
        <v>77</v>
      </c>
      <c r="J93" t="s">
        <v>17</v>
      </c>
      <c r="K93" t="s">
        <v>18</v>
      </c>
    </row>
    <row r="94" spans="1:11">
      <c r="A94" t="s">
        <v>236</v>
      </c>
      <c r="B94" t="s">
        <v>237</v>
      </c>
      <c r="C94" t="s">
        <v>60</v>
      </c>
      <c r="D94" t="s">
        <v>61</v>
      </c>
      <c r="E94">
        <v>899</v>
      </c>
      <c r="F94">
        <v>1</v>
      </c>
      <c r="G94">
        <v>899</v>
      </c>
      <c r="H94" t="s">
        <v>37</v>
      </c>
      <c r="I94" t="s">
        <v>98</v>
      </c>
      <c r="J94" t="s">
        <v>25</v>
      </c>
      <c r="K94" t="s">
        <v>33</v>
      </c>
    </row>
    <row r="95" spans="1:11">
      <c r="A95" t="s">
        <v>238</v>
      </c>
      <c r="B95" t="s">
        <v>239</v>
      </c>
      <c r="C95" t="s">
        <v>87</v>
      </c>
      <c r="D95" t="s">
        <v>88</v>
      </c>
      <c r="E95">
        <v>5499</v>
      </c>
      <c r="F95">
        <v>4</v>
      </c>
      <c r="G95">
        <v>21996</v>
      </c>
      <c r="H95" t="s">
        <v>37</v>
      </c>
      <c r="I95" t="s">
        <v>98</v>
      </c>
      <c r="J95" t="s">
        <v>25</v>
      </c>
      <c r="K95" t="s">
        <v>18</v>
      </c>
    </row>
    <row r="96" spans="1:11">
      <c r="A96" t="s">
        <v>240</v>
      </c>
      <c r="B96" t="s">
        <v>241</v>
      </c>
      <c r="C96" t="s">
        <v>70</v>
      </c>
      <c r="D96" t="s">
        <v>29</v>
      </c>
      <c r="E96">
        <v>799</v>
      </c>
      <c r="F96">
        <v>3</v>
      </c>
      <c r="G96">
        <v>2397</v>
      </c>
      <c r="H96" t="s">
        <v>157</v>
      </c>
      <c r="I96" t="s">
        <v>24</v>
      </c>
      <c r="J96" t="s">
        <v>25</v>
      </c>
      <c r="K96" t="s">
        <v>45</v>
      </c>
    </row>
    <row r="97" spans="1:11">
      <c r="A97" t="s">
        <v>242</v>
      </c>
      <c r="B97" t="s">
        <v>243</v>
      </c>
      <c r="C97" t="s">
        <v>70</v>
      </c>
      <c r="D97" t="s">
        <v>29</v>
      </c>
      <c r="E97">
        <v>799</v>
      </c>
      <c r="F97">
        <v>4</v>
      </c>
      <c r="G97">
        <v>3196</v>
      </c>
      <c r="H97" t="s">
        <v>157</v>
      </c>
      <c r="I97" t="s">
        <v>77</v>
      </c>
      <c r="J97" t="s">
        <v>32</v>
      </c>
      <c r="K97" t="s">
        <v>18</v>
      </c>
    </row>
    <row r="98" spans="1:11">
      <c r="A98" t="s">
        <v>244</v>
      </c>
      <c r="B98" t="s">
        <v>185</v>
      </c>
      <c r="C98" t="s">
        <v>21</v>
      </c>
      <c r="D98" t="s">
        <v>22</v>
      </c>
      <c r="E98">
        <v>1499</v>
      </c>
      <c r="F98">
        <v>3</v>
      </c>
      <c r="G98">
        <v>4497</v>
      </c>
      <c r="H98" t="s">
        <v>119</v>
      </c>
      <c r="I98" t="s">
        <v>82</v>
      </c>
      <c r="J98" t="s">
        <v>90</v>
      </c>
      <c r="K98" t="s">
        <v>45</v>
      </c>
    </row>
    <row r="99" spans="1:11">
      <c r="A99" t="s">
        <v>245</v>
      </c>
      <c r="B99" t="s">
        <v>246</v>
      </c>
      <c r="C99" t="s">
        <v>80</v>
      </c>
      <c r="D99" t="s">
        <v>81</v>
      </c>
      <c r="E99">
        <v>299</v>
      </c>
      <c r="F99">
        <v>4</v>
      </c>
      <c r="G99">
        <v>1196</v>
      </c>
      <c r="H99" t="s">
        <v>95</v>
      </c>
      <c r="I99" t="s">
        <v>24</v>
      </c>
      <c r="J99" t="s">
        <v>17</v>
      </c>
      <c r="K99" t="s">
        <v>18</v>
      </c>
    </row>
    <row r="100" spans="1:11">
      <c r="A100" t="s">
        <v>247</v>
      </c>
      <c r="B100" t="s">
        <v>128</v>
      </c>
      <c r="C100" t="s">
        <v>122</v>
      </c>
      <c r="D100" t="s">
        <v>29</v>
      </c>
      <c r="E100">
        <v>1299</v>
      </c>
      <c r="F100">
        <v>5</v>
      </c>
      <c r="G100">
        <v>6495</v>
      </c>
      <c r="H100" t="s">
        <v>186</v>
      </c>
      <c r="I100" t="s">
        <v>24</v>
      </c>
      <c r="J100" t="s">
        <v>17</v>
      </c>
      <c r="K100" t="s">
        <v>18</v>
      </c>
    </row>
    <row r="101" spans="1:11">
      <c r="A101" t="s">
        <v>248</v>
      </c>
      <c r="B101" t="s">
        <v>196</v>
      </c>
      <c r="C101" t="s">
        <v>162</v>
      </c>
      <c r="D101" t="s">
        <v>29</v>
      </c>
      <c r="E101">
        <v>1799</v>
      </c>
      <c r="F101">
        <v>3</v>
      </c>
      <c r="G101">
        <v>5397</v>
      </c>
      <c r="H101" t="s">
        <v>119</v>
      </c>
      <c r="I101" t="s">
        <v>77</v>
      </c>
      <c r="J101" t="s">
        <v>25</v>
      </c>
      <c r="K101" t="s">
        <v>18</v>
      </c>
    </row>
    <row r="102" spans="1:11">
      <c r="A102" t="s">
        <v>249</v>
      </c>
      <c r="B102" t="s">
        <v>250</v>
      </c>
      <c r="C102" t="s">
        <v>101</v>
      </c>
      <c r="D102" t="s">
        <v>81</v>
      </c>
      <c r="E102">
        <v>499</v>
      </c>
      <c r="F102">
        <v>5</v>
      </c>
      <c r="G102">
        <v>2495</v>
      </c>
      <c r="H102" t="s">
        <v>95</v>
      </c>
      <c r="I102" t="s">
        <v>24</v>
      </c>
      <c r="J102" t="s">
        <v>38</v>
      </c>
      <c r="K102" t="s">
        <v>45</v>
      </c>
    </row>
    <row r="103" spans="1:11">
      <c r="A103" t="s">
        <v>251</v>
      </c>
      <c r="B103" t="s">
        <v>75</v>
      </c>
      <c r="C103" t="s">
        <v>162</v>
      </c>
      <c r="D103" t="s">
        <v>29</v>
      </c>
      <c r="E103">
        <v>1799</v>
      </c>
      <c r="F103">
        <v>4</v>
      </c>
      <c r="G103">
        <v>7196</v>
      </c>
      <c r="H103" t="s">
        <v>157</v>
      </c>
      <c r="I103" t="s">
        <v>82</v>
      </c>
      <c r="J103" t="s">
        <v>38</v>
      </c>
      <c r="K103" t="s">
        <v>18</v>
      </c>
    </row>
    <row r="104" spans="1:11">
      <c r="A104" t="s">
        <v>252</v>
      </c>
      <c r="B104" t="s">
        <v>84</v>
      </c>
      <c r="C104" t="s">
        <v>21</v>
      </c>
      <c r="D104" t="s">
        <v>22</v>
      </c>
      <c r="E104">
        <v>1499</v>
      </c>
      <c r="F104">
        <v>3</v>
      </c>
      <c r="G104">
        <v>4497</v>
      </c>
      <c r="H104" t="s">
        <v>15</v>
      </c>
      <c r="I104" t="s">
        <v>98</v>
      </c>
      <c r="J104" t="s">
        <v>25</v>
      </c>
      <c r="K104" t="s">
        <v>18</v>
      </c>
    </row>
    <row r="105" spans="1:11">
      <c r="A105" t="s">
        <v>253</v>
      </c>
      <c r="B105" t="s">
        <v>100</v>
      </c>
      <c r="C105" t="s">
        <v>80</v>
      </c>
      <c r="D105" t="s">
        <v>81</v>
      </c>
      <c r="E105">
        <v>299</v>
      </c>
      <c r="F105">
        <v>4</v>
      </c>
      <c r="G105">
        <v>1196</v>
      </c>
      <c r="H105" t="s">
        <v>37</v>
      </c>
      <c r="I105" t="s">
        <v>105</v>
      </c>
      <c r="J105" t="s">
        <v>38</v>
      </c>
      <c r="K105" t="s">
        <v>18</v>
      </c>
    </row>
    <row r="106" spans="1:11">
      <c r="A106" t="s">
        <v>254</v>
      </c>
      <c r="B106" t="s">
        <v>255</v>
      </c>
      <c r="C106" t="s">
        <v>162</v>
      </c>
      <c r="D106" t="s">
        <v>29</v>
      </c>
      <c r="E106">
        <v>1799</v>
      </c>
      <c r="F106">
        <v>5</v>
      </c>
      <c r="G106">
        <v>8995</v>
      </c>
      <c r="H106" t="s">
        <v>157</v>
      </c>
      <c r="I106" t="s">
        <v>125</v>
      </c>
      <c r="J106" t="s">
        <v>38</v>
      </c>
      <c r="K106" t="s">
        <v>18</v>
      </c>
    </row>
    <row r="107" spans="1:11">
      <c r="A107" t="s">
        <v>256</v>
      </c>
      <c r="B107" t="s">
        <v>257</v>
      </c>
      <c r="C107" t="s">
        <v>162</v>
      </c>
      <c r="D107" t="s">
        <v>29</v>
      </c>
      <c r="E107">
        <v>1799</v>
      </c>
      <c r="F107">
        <v>3</v>
      </c>
      <c r="G107">
        <v>5397</v>
      </c>
      <c r="H107" t="s">
        <v>102</v>
      </c>
      <c r="I107" t="s">
        <v>125</v>
      </c>
      <c r="J107" t="s">
        <v>38</v>
      </c>
      <c r="K107" t="s">
        <v>45</v>
      </c>
    </row>
    <row r="108" spans="1:11">
      <c r="A108" t="s">
        <v>258</v>
      </c>
      <c r="B108" t="s">
        <v>183</v>
      </c>
      <c r="C108" t="s">
        <v>60</v>
      </c>
      <c r="D108" t="s">
        <v>61</v>
      </c>
      <c r="E108">
        <v>899</v>
      </c>
      <c r="F108">
        <v>2</v>
      </c>
      <c r="G108">
        <v>1798</v>
      </c>
      <c r="H108" t="s">
        <v>186</v>
      </c>
      <c r="I108" t="s">
        <v>82</v>
      </c>
      <c r="J108" t="s">
        <v>90</v>
      </c>
      <c r="K108" t="s">
        <v>18</v>
      </c>
    </row>
    <row r="109" spans="1:11">
      <c r="A109" t="s">
        <v>259</v>
      </c>
      <c r="B109" t="s">
        <v>260</v>
      </c>
      <c r="C109" t="s">
        <v>135</v>
      </c>
      <c r="D109" t="s">
        <v>29</v>
      </c>
      <c r="E109">
        <v>3999</v>
      </c>
      <c r="F109">
        <v>5</v>
      </c>
      <c r="G109">
        <v>19995</v>
      </c>
      <c r="H109" t="s">
        <v>186</v>
      </c>
      <c r="I109" t="s">
        <v>16</v>
      </c>
      <c r="J109" t="s">
        <v>32</v>
      </c>
      <c r="K109" t="s">
        <v>18</v>
      </c>
    </row>
    <row r="110" spans="1:11">
      <c r="A110" t="s">
        <v>261</v>
      </c>
      <c r="B110" t="s">
        <v>139</v>
      </c>
      <c r="C110" t="s">
        <v>60</v>
      </c>
      <c r="D110" t="s">
        <v>61</v>
      </c>
      <c r="E110">
        <v>899</v>
      </c>
      <c r="F110">
        <v>4</v>
      </c>
      <c r="G110">
        <v>3596</v>
      </c>
      <c r="H110" t="s">
        <v>71</v>
      </c>
      <c r="I110" t="s">
        <v>125</v>
      </c>
      <c r="J110" t="s">
        <v>17</v>
      </c>
      <c r="K110" t="s">
        <v>18</v>
      </c>
    </row>
    <row r="111" spans="1:11">
      <c r="A111" t="s">
        <v>262</v>
      </c>
      <c r="B111" t="s">
        <v>250</v>
      </c>
      <c r="C111" t="s">
        <v>28</v>
      </c>
      <c r="D111" t="s">
        <v>29</v>
      </c>
      <c r="E111">
        <v>1299</v>
      </c>
      <c r="F111">
        <v>3</v>
      </c>
      <c r="G111">
        <v>3897</v>
      </c>
      <c r="H111" t="s">
        <v>56</v>
      </c>
      <c r="I111" t="s">
        <v>67</v>
      </c>
      <c r="J111" t="s">
        <v>25</v>
      </c>
      <c r="K111" t="s">
        <v>18</v>
      </c>
    </row>
    <row r="112" spans="1:11">
      <c r="A112" t="s">
        <v>263</v>
      </c>
      <c r="B112" t="s">
        <v>185</v>
      </c>
      <c r="C112" t="s">
        <v>60</v>
      </c>
      <c r="D112" t="s">
        <v>61</v>
      </c>
      <c r="E112">
        <v>899</v>
      </c>
      <c r="F112">
        <v>4</v>
      </c>
      <c r="G112">
        <v>3596</v>
      </c>
      <c r="H112" t="s">
        <v>89</v>
      </c>
      <c r="I112" t="s">
        <v>125</v>
      </c>
      <c r="J112" t="s">
        <v>25</v>
      </c>
      <c r="K112" t="s">
        <v>45</v>
      </c>
    </row>
    <row r="113" spans="1:11">
      <c r="A113" t="s">
        <v>264</v>
      </c>
      <c r="B113" t="s">
        <v>265</v>
      </c>
      <c r="C113" t="s">
        <v>21</v>
      </c>
      <c r="D113" t="s">
        <v>22</v>
      </c>
      <c r="E113">
        <v>1499</v>
      </c>
      <c r="F113">
        <v>4</v>
      </c>
      <c r="G113">
        <v>5996</v>
      </c>
      <c r="H113" t="s">
        <v>15</v>
      </c>
      <c r="I113" t="s">
        <v>67</v>
      </c>
      <c r="J113" t="s">
        <v>38</v>
      </c>
      <c r="K113" t="s">
        <v>18</v>
      </c>
    </row>
    <row r="114" spans="1:11">
      <c r="A114" t="s">
        <v>266</v>
      </c>
      <c r="B114" t="s">
        <v>267</v>
      </c>
      <c r="C114" t="s">
        <v>21</v>
      </c>
      <c r="D114" t="s">
        <v>22</v>
      </c>
      <c r="E114">
        <v>1499</v>
      </c>
      <c r="F114">
        <v>3</v>
      </c>
      <c r="G114">
        <v>4497</v>
      </c>
      <c r="H114" t="s">
        <v>71</v>
      </c>
      <c r="I114" t="s">
        <v>57</v>
      </c>
      <c r="J114" t="s">
        <v>38</v>
      </c>
      <c r="K114" t="s">
        <v>18</v>
      </c>
    </row>
    <row r="115" spans="1:11">
      <c r="A115" t="s">
        <v>268</v>
      </c>
      <c r="B115" t="s">
        <v>269</v>
      </c>
      <c r="C115" t="s">
        <v>162</v>
      </c>
      <c r="D115" t="s">
        <v>29</v>
      </c>
      <c r="E115">
        <v>1799</v>
      </c>
      <c r="F115">
        <v>3</v>
      </c>
      <c r="G115">
        <v>5397</v>
      </c>
      <c r="H115" t="s">
        <v>15</v>
      </c>
      <c r="I115" t="s">
        <v>105</v>
      </c>
      <c r="J115" t="s">
        <v>25</v>
      </c>
      <c r="K115" t="s">
        <v>18</v>
      </c>
    </row>
    <row r="116" spans="1:11">
      <c r="A116" t="s">
        <v>270</v>
      </c>
      <c r="B116" t="s">
        <v>35</v>
      </c>
      <c r="C116" t="s">
        <v>60</v>
      </c>
      <c r="D116" t="s">
        <v>61</v>
      </c>
      <c r="E116">
        <v>899</v>
      </c>
      <c r="F116">
        <v>4</v>
      </c>
      <c r="G116">
        <v>3596</v>
      </c>
      <c r="H116" t="s">
        <v>89</v>
      </c>
      <c r="I116" t="s">
        <v>31</v>
      </c>
      <c r="J116" t="s">
        <v>17</v>
      </c>
      <c r="K116" t="s">
        <v>18</v>
      </c>
    </row>
    <row r="117" spans="1:11">
      <c r="A117" t="s">
        <v>271</v>
      </c>
      <c r="B117" t="s">
        <v>272</v>
      </c>
      <c r="C117" t="s">
        <v>101</v>
      </c>
      <c r="D117" t="s">
        <v>81</v>
      </c>
      <c r="E117">
        <v>499</v>
      </c>
      <c r="F117">
        <v>1</v>
      </c>
      <c r="G117">
        <v>499</v>
      </c>
      <c r="H117" t="s">
        <v>37</v>
      </c>
      <c r="I117" t="s">
        <v>63</v>
      </c>
      <c r="J117" t="s">
        <v>32</v>
      </c>
      <c r="K117" t="s">
        <v>18</v>
      </c>
    </row>
    <row r="118" spans="1:11">
      <c r="A118" t="s">
        <v>273</v>
      </c>
      <c r="B118" t="s">
        <v>274</v>
      </c>
      <c r="C118" t="s">
        <v>21</v>
      </c>
      <c r="D118" t="s">
        <v>22</v>
      </c>
      <c r="E118">
        <v>1499</v>
      </c>
      <c r="F118">
        <v>3</v>
      </c>
      <c r="G118">
        <v>4497</v>
      </c>
      <c r="H118" t="s">
        <v>89</v>
      </c>
      <c r="I118" t="s">
        <v>16</v>
      </c>
      <c r="J118" t="s">
        <v>32</v>
      </c>
      <c r="K118" t="s">
        <v>45</v>
      </c>
    </row>
    <row r="119" spans="1:11">
      <c r="A119" t="s">
        <v>275</v>
      </c>
      <c r="B119" t="s">
        <v>276</v>
      </c>
      <c r="C119" t="s">
        <v>80</v>
      </c>
      <c r="D119" t="s">
        <v>81</v>
      </c>
      <c r="E119">
        <v>299</v>
      </c>
      <c r="F119">
        <v>4</v>
      </c>
      <c r="G119">
        <v>1196</v>
      </c>
      <c r="H119" t="s">
        <v>119</v>
      </c>
      <c r="I119" t="s">
        <v>44</v>
      </c>
      <c r="J119" t="s">
        <v>17</v>
      </c>
      <c r="K119" t="s">
        <v>18</v>
      </c>
    </row>
    <row r="120" spans="1:11">
      <c r="A120" t="s">
        <v>277</v>
      </c>
      <c r="B120" t="s">
        <v>92</v>
      </c>
      <c r="C120" t="s">
        <v>122</v>
      </c>
      <c r="D120" t="s">
        <v>29</v>
      </c>
      <c r="E120">
        <v>1299</v>
      </c>
      <c r="F120">
        <v>4</v>
      </c>
      <c r="G120">
        <v>5196</v>
      </c>
      <c r="H120" t="s">
        <v>37</v>
      </c>
      <c r="I120" t="s">
        <v>44</v>
      </c>
      <c r="J120" t="s">
        <v>17</v>
      </c>
      <c r="K120" t="s">
        <v>18</v>
      </c>
    </row>
    <row r="121" spans="1:11">
      <c r="A121" t="s">
        <v>278</v>
      </c>
      <c r="B121" t="s">
        <v>279</v>
      </c>
      <c r="C121" t="s">
        <v>101</v>
      </c>
      <c r="D121" t="s">
        <v>81</v>
      </c>
      <c r="E121">
        <v>499</v>
      </c>
      <c r="F121">
        <v>5</v>
      </c>
      <c r="G121">
        <v>2495</v>
      </c>
      <c r="H121" t="s">
        <v>71</v>
      </c>
      <c r="I121" t="s">
        <v>98</v>
      </c>
      <c r="J121" t="s">
        <v>17</v>
      </c>
      <c r="K121" t="s">
        <v>18</v>
      </c>
    </row>
    <row r="122" spans="1:11">
      <c r="A122" t="s">
        <v>280</v>
      </c>
      <c r="B122" t="s">
        <v>281</v>
      </c>
      <c r="C122" t="s">
        <v>13</v>
      </c>
      <c r="D122" t="s">
        <v>14</v>
      </c>
      <c r="E122">
        <v>2499</v>
      </c>
      <c r="F122">
        <v>1</v>
      </c>
      <c r="G122">
        <v>2499</v>
      </c>
      <c r="H122" t="s">
        <v>119</v>
      </c>
      <c r="I122" t="s">
        <v>44</v>
      </c>
      <c r="J122" t="s">
        <v>32</v>
      </c>
      <c r="K122" t="s">
        <v>45</v>
      </c>
    </row>
    <row r="123" spans="1:11">
      <c r="A123" t="s">
        <v>282</v>
      </c>
      <c r="B123" t="s">
        <v>237</v>
      </c>
      <c r="C123" t="s">
        <v>80</v>
      </c>
      <c r="D123" t="s">
        <v>81</v>
      </c>
      <c r="E123">
        <v>299</v>
      </c>
      <c r="F123">
        <v>3</v>
      </c>
      <c r="G123">
        <v>897</v>
      </c>
      <c r="H123" t="s">
        <v>157</v>
      </c>
      <c r="I123" t="s">
        <v>31</v>
      </c>
      <c r="J123" t="s">
        <v>17</v>
      </c>
      <c r="K123" t="s">
        <v>18</v>
      </c>
    </row>
    <row r="124" spans="1:11">
      <c r="A124" t="s">
        <v>283</v>
      </c>
      <c r="B124" t="s">
        <v>132</v>
      </c>
      <c r="C124" t="s">
        <v>135</v>
      </c>
      <c r="D124" t="s">
        <v>29</v>
      </c>
      <c r="E124">
        <v>3999</v>
      </c>
      <c r="F124">
        <v>1</v>
      </c>
      <c r="G124">
        <v>3999</v>
      </c>
      <c r="H124" t="s">
        <v>30</v>
      </c>
      <c r="I124" t="s">
        <v>16</v>
      </c>
      <c r="J124" t="s">
        <v>90</v>
      </c>
      <c r="K124" t="s">
        <v>18</v>
      </c>
    </row>
    <row r="125" spans="1:11">
      <c r="A125" t="s">
        <v>284</v>
      </c>
      <c r="B125" t="s">
        <v>171</v>
      </c>
      <c r="C125" t="s">
        <v>80</v>
      </c>
      <c r="D125" t="s">
        <v>81</v>
      </c>
      <c r="E125">
        <v>299</v>
      </c>
      <c r="F125">
        <v>1</v>
      </c>
      <c r="G125">
        <v>299</v>
      </c>
      <c r="H125" t="s">
        <v>95</v>
      </c>
      <c r="I125" t="s">
        <v>67</v>
      </c>
      <c r="J125" t="s">
        <v>17</v>
      </c>
      <c r="K125" t="s">
        <v>33</v>
      </c>
    </row>
    <row r="126" spans="1:11">
      <c r="A126" t="s">
        <v>285</v>
      </c>
      <c r="B126" t="s">
        <v>281</v>
      </c>
      <c r="C126" t="s">
        <v>52</v>
      </c>
      <c r="D126" t="s">
        <v>53</v>
      </c>
      <c r="E126">
        <v>199</v>
      </c>
      <c r="F126">
        <v>2</v>
      </c>
      <c r="G126">
        <v>398</v>
      </c>
      <c r="H126" t="s">
        <v>102</v>
      </c>
      <c r="I126" t="s">
        <v>63</v>
      </c>
      <c r="J126" t="s">
        <v>17</v>
      </c>
      <c r="K126" t="s">
        <v>18</v>
      </c>
    </row>
    <row r="127" spans="1:11">
      <c r="A127" t="s">
        <v>286</v>
      </c>
      <c r="B127" t="s">
        <v>152</v>
      </c>
      <c r="C127" t="s">
        <v>162</v>
      </c>
      <c r="D127" t="s">
        <v>29</v>
      </c>
      <c r="E127">
        <v>1799</v>
      </c>
      <c r="F127">
        <v>3</v>
      </c>
      <c r="G127">
        <v>5397</v>
      </c>
      <c r="H127" t="s">
        <v>119</v>
      </c>
      <c r="I127" t="s">
        <v>31</v>
      </c>
      <c r="J127" t="s">
        <v>38</v>
      </c>
      <c r="K127" t="s">
        <v>45</v>
      </c>
    </row>
    <row r="128" spans="1:11">
      <c r="A128" t="s">
        <v>287</v>
      </c>
      <c r="B128" t="s">
        <v>185</v>
      </c>
      <c r="C128" t="s">
        <v>87</v>
      </c>
      <c r="D128" t="s">
        <v>88</v>
      </c>
      <c r="E128">
        <v>5499</v>
      </c>
      <c r="F128">
        <v>4</v>
      </c>
      <c r="G128">
        <v>21996</v>
      </c>
      <c r="H128" t="s">
        <v>186</v>
      </c>
      <c r="I128" t="s">
        <v>63</v>
      </c>
      <c r="J128" t="s">
        <v>17</v>
      </c>
      <c r="K128" t="s">
        <v>18</v>
      </c>
    </row>
    <row r="129" spans="1:11">
      <c r="A129" t="s">
        <v>288</v>
      </c>
      <c r="B129" t="s">
        <v>234</v>
      </c>
      <c r="C129" t="s">
        <v>52</v>
      </c>
      <c r="D129" t="s">
        <v>53</v>
      </c>
      <c r="E129">
        <v>199</v>
      </c>
      <c r="F129">
        <v>3</v>
      </c>
      <c r="G129">
        <v>597</v>
      </c>
      <c r="H129" t="s">
        <v>30</v>
      </c>
      <c r="I129" t="s">
        <v>77</v>
      </c>
      <c r="J129" t="s">
        <v>32</v>
      </c>
      <c r="K129" t="s">
        <v>18</v>
      </c>
    </row>
    <row r="130" spans="1:11">
      <c r="A130" t="s">
        <v>289</v>
      </c>
      <c r="B130" t="s">
        <v>229</v>
      </c>
      <c r="C130" t="s">
        <v>21</v>
      </c>
      <c r="D130" t="s">
        <v>22</v>
      </c>
      <c r="E130">
        <v>1499</v>
      </c>
      <c r="F130">
        <v>3</v>
      </c>
      <c r="G130">
        <v>4497</v>
      </c>
      <c r="H130" t="s">
        <v>119</v>
      </c>
      <c r="I130" t="s">
        <v>31</v>
      </c>
      <c r="J130" t="s">
        <v>90</v>
      </c>
      <c r="K130" t="s">
        <v>18</v>
      </c>
    </row>
    <row r="131" spans="1:11">
      <c r="A131" t="s">
        <v>290</v>
      </c>
      <c r="B131" t="s">
        <v>291</v>
      </c>
      <c r="C131" t="s">
        <v>21</v>
      </c>
      <c r="D131" t="s">
        <v>22</v>
      </c>
      <c r="E131">
        <v>1499</v>
      </c>
      <c r="F131">
        <v>1</v>
      </c>
      <c r="G131">
        <v>1499</v>
      </c>
      <c r="H131" t="s">
        <v>89</v>
      </c>
      <c r="I131" t="s">
        <v>125</v>
      </c>
      <c r="J131" t="s">
        <v>25</v>
      </c>
      <c r="K131" t="s">
        <v>18</v>
      </c>
    </row>
    <row r="132" spans="1:11">
      <c r="A132" t="s">
        <v>292</v>
      </c>
      <c r="B132" t="s">
        <v>293</v>
      </c>
      <c r="C132" t="s">
        <v>60</v>
      </c>
      <c r="D132" t="s">
        <v>61</v>
      </c>
      <c r="E132">
        <v>899</v>
      </c>
      <c r="F132">
        <v>3</v>
      </c>
      <c r="G132">
        <v>2697</v>
      </c>
      <c r="H132" t="s">
        <v>56</v>
      </c>
      <c r="I132" t="s">
        <v>24</v>
      </c>
      <c r="J132" t="s">
        <v>17</v>
      </c>
      <c r="K132" t="s">
        <v>45</v>
      </c>
    </row>
    <row r="133" spans="1:11">
      <c r="A133" t="s">
        <v>294</v>
      </c>
      <c r="B133" t="s">
        <v>295</v>
      </c>
      <c r="C133" t="s">
        <v>87</v>
      </c>
      <c r="D133" t="s">
        <v>88</v>
      </c>
      <c r="E133">
        <v>5499</v>
      </c>
      <c r="F133">
        <v>1</v>
      </c>
      <c r="G133">
        <v>5499</v>
      </c>
      <c r="H133" t="s">
        <v>186</v>
      </c>
      <c r="I133" t="s">
        <v>31</v>
      </c>
      <c r="J133" t="s">
        <v>25</v>
      </c>
      <c r="K133" t="s">
        <v>18</v>
      </c>
    </row>
    <row r="134" spans="1:11">
      <c r="A134" t="s">
        <v>296</v>
      </c>
      <c r="B134" t="s">
        <v>297</v>
      </c>
      <c r="C134" t="s">
        <v>36</v>
      </c>
      <c r="D134" t="s">
        <v>29</v>
      </c>
      <c r="E134">
        <v>1999</v>
      </c>
      <c r="F134">
        <v>5</v>
      </c>
      <c r="G134">
        <v>9995</v>
      </c>
      <c r="H134" t="s">
        <v>89</v>
      </c>
      <c r="I134" t="s">
        <v>24</v>
      </c>
      <c r="J134" t="s">
        <v>25</v>
      </c>
      <c r="K134" t="s">
        <v>18</v>
      </c>
    </row>
    <row r="135" spans="1:11">
      <c r="A135" t="s">
        <v>298</v>
      </c>
      <c r="B135" t="s">
        <v>260</v>
      </c>
      <c r="C135" t="s">
        <v>162</v>
      </c>
      <c r="D135" t="s">
        <v>29</v>
      </c>
      <c r="E135">
        <v>1799</v>
      </c>
      <c r="F135">
        <v>3</v>
      </c>
      <c r="G135">
        <v>5397</v>
      </c>
      <c r="H135" t="s">
        <v>62</v>
      </c>
      <c r="I135" t="s">
        <v>105</v>
      </c>
      <c r="J135" t="s">
        <v>25</v>
      </c>
      <c r="K135" t="s">
        <v>18</v>
      </c>
    </row>
    <row r="136" spans="1:11">
      <c r="A136" t="s">
        <v>299</v>
      </c>
      <c r="B136" t="s">
        <v>300</v>
      </c>
      <c r="C136" t="s">
        <v>13</v>
      </c>
      <c r="D136" t="s">
        <v>14</v>
      </c>
      <c r="E136">
        <v>2499</v>
      </c>
      <c r="F136">
        <v>5</v>
      </c>
      <c r="G136">
        <v>12495</v>
      </c>
      <c r="H136" t="s">
        <v>43</v>
      </c>
      <c r="I136" t="s">
        <v>77</v>
      </c>
      <c r="J136" t="s">
        <v>32</v>
      </c>
      <c r="K136" t="s">
        <v>45</v>
      </c>
    </row>
    <row r="137" spans="1:11">
      <c r="A137" t="s">
        <v>301</v>
      </c>
      <c r="B137" t="s">
        <v>130</v>
      </c>
      <c r="C137" t="s">
        <v>13</v>
      </c>
      <c r="D137" t="s">
        <v>14</v>
      </c>
      <c r="E137">
        <v>2499</v>
      </c>
      <c r="F137">
        <v>4</v>
      </c>
      <c r="G137">
        <v>9996</v>
      </c>
      <c r="H137" t="s">
        <v>15</v>
      </c>
      <c r="I137" t="s">
        <v>63</v>
      </c>
      <c r="J137" t="s">
        <v>32</v>
      </c>
      <c r="K137" t="s">
        <v>33</v>
      </c>
    </row>
    <row r="138" spans="1:11">
      <c r="A138" t="s">
        <v>302</v>
      </c>
      <c r="B138" t="s">
        <v>303</v>
      </c>
      <c r="C138" t="s">
        <v>87</v>
      </c>
      <c r="D138" t="s">
        <v>88</v>
      </c>
      <c r="E138">
        <v>5499</v>
      </c>
      <c r="F138">
        <v>5</v>
      </c>
      <c r="G138">
        <v>27495</v>
      </c>
      <c r="H138" t="s">
        <v>37</v>
      </c>
      <c r="I138" t="s">
        <v>24</v>
      </c>
      <c r="J138" t="s">
        <v>38</v>
      </c>
      <c r="K138" t="s">
        <v>18</v>
      </c>
    </row>
    <row r="139" spans="1:11">
      <c r="A139" t="s">
        <v>304</v>
      </c>
      <c r="B139" t="s">
        <v>250</v>
      </c>
      <c r="C139" t="s">
        <v>80</v>
      </c>
      <c r="D139" t="s">
        <v>81</v>
      </c>
      <c r="E139">
        <v>299</v>
      </c>
      <c r="F139">
        <v>5</v>
      </c>
      <c r="G139">
        <v>1495</v>
      </c>
      <c r="H139" t="s">
        <v>43</v>
      </c>
      <c r="I139" t="s">
        <v>57</v>
      </c>
      <c r="J139" t="s">
        <v>25</v>
      </c>
      <c r="K139" t="s">
        <v>18</v>
      </c>
    </row>
    <row r="140" spans="1:11">
      <c r="A140" t="s">
        <v>305</v>
      </c>
      <c r="B140" t="s">
        <v>109</v>
      </c>
      <c r="C140" t="s">
        <v>70</v>
      </c>
      <c r="D140" t="s">
        <v>29</v>
      </c>
      <c r="E140">
        <v>799</v>
      </c>
      <c r="F140">
        <v>4</v>
      </c>
      <c r="G140">
        <v>3196</v>
      </c>
      <c r="H140" t="s">
        <v>157</v>
      </c>
      <c r="I140" t="s">
        <v>98</v>
      </c>
      <c r="J140" t="s">
        <v>25</v>
      </c>
      <c r="K140" t="s">
        <v>18</v>
      </c>
    </row>
    <row r="141" spans="1:11">
      <c r="A141" t="s">
        <v>306</v>
      </c>
      <c r="B141" t="s">
        <v>161</v>
      </c>
      <c r="C141" t="s">
        <v>162</v>
      </c>
      <c r="D141" t="s">
        <v>29</v>
      </c>
      <c r="E141">
        <v>1799</v>
      </c>
      <c r="F141">
        <v>4</v>
      </c>
      <c r="G141">
        <v>7196</v>
      </c>
      <c r="H141" t="s">
        <v>186</v>
      </c>
      <c r="I141" t="s">
        <v>24</v>
      </c>
      <c r="J141" t="s">
        <v>38</v>
      </c>
      <c r="K141" t="s">
        <v>45</v>
      </c>
    </row>
    <row r="142" spans="1:11">
      <c r="A142" t="s">
        <v>307</v>
      </c>
      <c r="B142" t="s">
        <v>152</v>
      </c>
      <c r="C142" t="s">
        <v>76</v>
      </c>
      <c r="D142" t="s">
        <v>49</v>
      </c>
      <c r="E142">
        <v>1599</v>
      </c>
      <c r="F142">
        <v>5</v>
      </c>
      <c r="G142">
        <v>7995</v>
      </c>
      <c r="H142" t="s">
        <v>66</v>
      </c>
      <c r="I142" t="s">
        <v>77</v>
      </c>
      <c r="J142" t="s">
        <v>25</v>
      </c>
      <c r="K142" t="s">
        <v>18</v>
      </c>
    </row>
    <row r="143" spans="1:11">
      <c r="A143" t="s">
        <v>308</v>
      </c>
      <c r="B143" t="s">
        <v>40</v>
      </c>
      <c r="C143" t="s">
        <v>52</v>
      </c>
      <c r="D143" t="s">
        <v>53</v>
      </c>
      <c r="E143">
        <v>199</v>
      </c>
      <c r="F143">
        <v>3</v>
      </c>
      <c r="G143">
        <v>597</v>
      </c>
      <c r="H143" t="s">
        <v>62</v>
      </c>
      <c r="I143" t="s">
        <v>63</v>
      </c>
      <c r="J143" t="s">
        <v>25</v>
      </c>
      <c r="K143" t="s">
        <v>18</v>
      </c>
    </row>
    <row r="144" spans="1:11">
      <c r="A144" t="s">
        <v>309</v>
      </c>
      <c r="B144" t="s">
        <v>310</v>
      </c>
      <c r="C144" t="s">
        <v>48</v>
      </c>
      <c r="D144" t="s">
        <v>49</v>
      </c>
      <c r="E144">
        <v>699</v>
      </c>
      <c r="F144">
        <v>3</v>
      </c>
      <c r="G144">
        <v>2097</v>
      </c>
      <c r="H144" t="s">
        <v>66</v>
      </c>
      <c r="I144" t="s">
        <v>98</v>
      </c>
      <c r="J144" t="s">
        <v>32</v>
      </c>
      <c r="K144" t="s">
        <v>45</v>
      </c>
    </row>
    <row r="145" spans="1:11">
      <c r="A145" t="s">
        <v>311</v>
      </c>
      <c r="B145" t="s">
        <v>69</v>
      </c>
      <c r="C145" t="s">
        <v>48</v>
      </c>
      <c r="D145" t="s">
        <v>49</v>
      </c>
      <c r="E145">
        <v>699</v>
      </c>
      <c r="F145">
        <v>2</v>
      </c>
      <c r="G145">
        <v>1398</v>
      </c>
      <c r="H145" t="s">
        <v>119</v>
      </c>
      <c r="I145" t="s">
        <v>125</v>
      </c>
      <c r="J145" t="s">
        <v>25</v>
      </c>
      <c r="K145" t="s">
        <v>45</v>
      </c>
    </row>
    <row r="146" spans="1:11">
      <c r="A146" t="s">
        <v>312</v>
      </c>
      <c r="B146" t="s">
        <v>241</v>
      </c>
      <c r="C146" t="s">
        <v>60</v>
      </c>
      <c r="D146" t="s">
        <v>61</v>
      </c>
      <c r="E146">
        <v>899</v>
      </c>
      <c r="F146">
        <v>3</v>
      </c>
      <c r="G146">
        <v>2697</v>
      </c>
      <c r="H146" t="s">
        <v>43</v>
      </c>
      <c r="I146" t="s">
        <v>125</v>
      </c>
      <c r="J146" t="s">
        <v>25</v>
      </c>
      <c r="K146" t="s">
        <v>18</v>
      </c>
    </row>
    <row r="147" spans="1:11">
      <c r="A147" t="s">
        <v>313</v>
      </c>
      <c r="B147" t="s">
        <v>314</v>
      </c>
      <c r="C147" t="s">
        <v>28</v>
      </c>
      <c r="D147" t="s">
        <v>29</v>
      </c>
      <c r="E147">
        <v>1299</v>
      </c>
      <c r="F147">
        <v>2</v>
      </c>
      <c r="G147">
        <v>2598</v>
      </c>
      <c r="H147" t="s">
        <v>37</v>
      </c>
      <c r="I147" t="s">
        <v>31</v>
      </c>
      <c r="J147" t="s">
        <v>90</v>
      </c>
      <c r="K147" t="s">
        <v>33</v>
      </c>
    </row>
    <row r="148" spans="1:11">
      <c r="A148" t="s">
        <v>315</v>
      </c>
      <c r="B148" t="s">
        <v>316</v>
      </c>
      <c r="C148" t="s">
        <v>52</v>
      </c>
      <c r="D148" t="s">
        <v>53</v>
      </c>
      <c r="E148">
        <v>199</v>
      </c>
      <c r="F148">
        <v>4</v>
      </c>
      <c r="G148">
        <v>796</v>
      </c>
      <c r="H148" t="s">
        <v>95</v>
      </c>
      <c r="I148" t="s">
        <v>77</v>
      </c>
      <c r="J148" t="s">
        <v>38</v>
      </c>
      <c r="K148" t="s">
        <v>45</v>
      </c>
    </row>
    <row r="149" spans="1:11">
      <c r="A149" t="s">
        <v>317</v>
      </c>
      <c r="B149" t="s">
        <v>109</v>
      </c>
      <c r="C149" t="s">
        <v>76</v>
      </c>
      <c r="D149" t="s">
        <v>49</v>
      </c>
      <c r="E149">
        <v>1599</v>
      </c>
      <c r="F149">
        <v>4</v>
      </c>
      <c r="G149">
        <v>6396</v>
      </c>
      <c r="H149" t="s">
        <v>23</v>
      </c>
      <c r="I149" t="s">
        <v>125</v>
      </c>
      <c r="J149" t="s">
        <v>90</v>
      </c>
      <c r="K149" t="s">
        <v>18</v>
      </c>
    </row>
    <row r="150" spans="1:11">
      <c r="A150" t="s">
        <v>318</v>
      </c>
      <c r="B150" t="s">
        <v>159</v>
      </c>
      <c r="C150" t="s">
        <v>13</v>
      </c>
      <c r="D150" t="s">
        <v>14</v>
      </c>
      <c r="E150">
        <v>2499</v>
      </c>
      <c r="F150">
        <v>1</v>
      </c>
      <c r="G150">
        <v>2499</v>
      </c>
      <c r="H150" t="s">
        <v>119</v>
      </c>
      <c r="I150" t="s">
        <v>31</v>
      </c>
      <c r="J150" t="s">
        <v>32</v>
      </c>
      <c r="K150" t="s">
        <v>18</v>
      </c>
    </row>
    <row r="151" spans="1:11">
      <c r="A151" t="s">
        <v>319</v>
      </c>
      <c r="B151" t="s">
        <v>35</v>
      </c>
      <c r="C151" t="s">
        <v>76</v>
      </c>
      <c r="D151" t="s">
        <v>49</v>
      </c>
      <c r="E151">
        <v>1599</v>
      </c>
      <c r="F151">
        <v>3</v>
      </c>
      <c r="G151">
        <v>4797</v>
      </c>
      <c r="H151" t="s">
        <v>15</v>
      </c>
      <c r="I151" t="s">
        <v>57</v>
      </c>
      <c r="J151" t="s">
        <v>25</v>
      </c>
      <c r="K151" t="s">
        <v>45</v>
      </c>
    </row>
    <row r="152" spans="1:11">
      <c r="A152" t="s">
        <v>320</v>
      </c>
      <c r="B152" t="s">
        <v>321</v>
      </c>
      <c r="C152" t="s">
        <v>60</v>
      </c>
      <c r="D152" t="s">
        <v>61</v>
      </c>
      <c r="E152">
        <v>899</v>
      </c>
      <c r="F152">
        <v>2</v>
      </c>
      <c r="G152">
        <v>1798</v>
      </c>
      <c r="H152" t="s">
        <v>71</v>
      </c>
      <c r="I152" t="s">
        <v>125</v>
      </c>
      <c r="J152" t="s">
        <v>90</v>
      </c>
      <c r="K152" t="s">
        <v>18</v>
      </c>
    </row>
    <row r="153" spans="1:11">
      <c r="A153" t="s">
        <v>322</v>
      </c>
      <c r="B153" t="s">
        <v>219</v>
      </c>
      <c r="C153" t="s">
        <v>70</v>
      </c>
      <c r="D153" t="s">
        <v>29</v>
      </c>
      <c r="E153">
        <v>799</v>
      </c>
      <c r="F153">
        <v>2</v>
      </c>
      <c r="G153">
        <v>1598</v>
      </c>
      <c r="H153" t="s">
        <v>56</v>
      </c>
      <c r="I153" t="s">
        <v>31</v>
      </c>
      <c r="J153" t="s">
        <v>90</v>
      </c>
      <c r="K153" t="s">
        <v>18</v>
      </c>
    </row>
    <row r="154" spans="1:11">
      <c r="A154" t="s">
        <v>323</v>
      </c>
      <c r="B154" t="s">
        <v>159</v>
      </c>
      <c r="C154" t="s">
        <v>21</v>
      </c>
      <c r="D154" t="s">
        <v>22</v>
      </c>
      <c r="E154">
        <v>1499</v>
      </c>
      <c r="F154">
        <v>2</v>
      </c>
      <c r="G154">
        <v>2998</v>
      </c>
      <c r="H154" t="s">
        <v>102</v>
      </c>
      <c r="I154" t="s">
        <v>77</v>
      </c>
      <c r="J154" t="s">
        <v>38</v>
      </c>
      <c r="K154" t="s">
        <v>45</v>
      </c>
    </row>
    <row r="155" spans="1:11">
      <c r="A155" t="s">
        <v>324</v>
      </c>
      <c r="B155" t="s">
        <v>325</v>
      </c>
      <c r="C155" t="s">
        <v>70</v>
      </c>
      <c r="D155" t="s">
        <v>29</v>
      </c>
      <c r="E155">
        <v>799</v>
      </c>
      <c r="F155">
        <v>3</v>
      </c>
      <c r="G155">
        <v>2397</v>
      </c>
      <c r="H155" t="s">
        <v>43</v>
      </c>
      <c r="I155" t="s">
        <v>77</v>
      </c>
      <c r="J155" t="s">
        <v>17</v>
      </c>
      <c r="K155" t="s">
        <v>18</v>
      </c>
    </row>
    <row r="156" spans="1:11">
      <c r="A156" t="s">
        <v>326</v>
      </c>
      <c r="B156" t="s">
        <v>137</v>
      </c>
      <c r="C156" t="s">
        <v>87</v>
      </c>
      <c r="D156" t="s">
        <v>88</v>
      </c>
      <c r="E156">
        <v>5499</v>
      </c>
      <c r="F156">
        <v>1</v>
      </c>
      <c r="G156">
        <v>5499</v>
      </c>
      <c r="H156" t="s">
        <v>186</v>
      </c>
      <c r="I156" t="s">
        <v>31</v>
      </c>
      <c r="J156" t="s">
        <v>90</v>
      </c>
      <c r="K156" t="s">
        <v>18</v>
      </c>
    </row>
    <row r="157" spans="1:11">
      <c r="A157" t="s">
        <v>327</v>
      </c>
      <c r="B157" t="s">
        <v>219</v>
      </c>
      <c r="C157" t="s">
        <v>76</v>
      </c>
      <c r="D157" t="s">
        <v>49</v>
      </c>
      <c r="E157">
        <v>1599</v>
      </c>
      <c r="F157">
        <v>5</v>
      </c>
      <c r="G157">
        <v>7995</v>
      </c>
      <c r="H157" t="s">
        <v>186</v>
      </c>
      <c r="I157" t="s">
        <v>63</v>
      </c>
      <c r="J157" t="s">
        <v>38</v>
      </c>
      <c r="K157" t="s">
        <v>18</v>
      </c>
    </row>
    <row r="158" spans="1:11">
      <c r="A158" t="s">
        <v>328</v>
      </c>
      <c r="B158" t="s">
        <v>329</v>
      </c>
      <c r="C158" t="s">
        <v>76</v>
      </c>
      <c r="D158" t="s">
        <v>49</v>
      </c>
      <c r="E158">
        <v>1599</v>
      </c>
      <c r="F158">
        <v>5</v>
      </c>
      <c r="G158">
        <v>7995</v>
      </c>
      <c r="H158" t="s">
        <v>119</v>
      </c>
      <c r="I158" t="s">
        <v>24</v>
      </c>
      <c r="J158" t="s">
        <v>25</v>
      </c>
      <c r="K158" t="s">
        <v>18</v>
      </c>
    </row>
    <row r="159" spans="1:11">
      <c r="A159" t="s">
        <v>330</v>
      </c>
      <c r="B159" t="s">
        <v>331</v>
      </c>
      <c r="C159" t="s">
        <v>76</v>
      </c>
      <c r="D159" t="s">
        <v>49</v>
      </c>
      <c r="E159">
        <v>1599</v>
      </c>
      <c r="F159">
        <v>2</v>
      </c>
      <c r="G159">
        <v>3198</v>
      </c>
      <c r="H159" t="s">
        <v>102</v>
      </c>
      <c r="I159" t="s">
        <v>16</v>
      </c>
      <c r="J159" t="s">
        <v>25</v>
      </c>
      <c r="K159" t="s">
        <v>18</v>
      </c>
    </row>
    <row r="160" spans="1:11">
      <c r="A160" t="s">
        <v>332</v>
      </c>
      <c r="B160" t="s">
        <v>185</v>
      </c>
      <c r="C160" t="s">
        <v>60</v>
      </c>
      <c r="D160" t="s">
        <v>61</v>
      </c>
      <c r="E160">
        <v>899</v>
      </c>
      <c r="F160">
        <v>5</v>
      </c>
      <c r="G160">
        <v>4495</v>
      </c>
      <c r="H160" t="s">
        <v>30</v>
      </c>
      <c r="I160" t="s">
        <v>16</v>
      </c>
      <c r="J160" t="s">
        <v>38</v>
      </c>
      <c r="K160" t="s">
        <v>18</v>
      </c>
    </row>
    <row r="161" spans="1:11">
      <c r="A161" t="s">
        <v>333</v>
      </c>
      <c r="B161" t="s">
        <v>255</v>
      </c>
      <c r="C161" t="s">
        <v>13</v>
      </c>
      <c r="D161" t="s">
        <v>14</v>
      </c>
      <c r="E161">
        <v>2499</v>
      </c>
      <c r="F161">
        <v>1</v>
      </c>
      <c r="G161">
        <v>2499</v>
      </c>
      <c r="H161" t="s">
        <v>62</v>
      </c>
      <c r="I161" t="s">
        <v>57</v>
      </c>
      <c r="J161" t="s">
        <v>25</v>
      </c>
      <c r="K161" t="s">
        <v>18</v>
      </c>
    </row>
    <row r="162" spans="1:11">
      <c r="A162" t="s">
        <v>334</v>
      </c>
      <c r="B162" t="s">
        <v>335</v>
      </c>
      <c r="C162" t="s">
        <v>122</v>
      </c>
      <c r="D162" t="s">
        <v>29</v>
      </c>
      <c r="E162">
        <v>1299</v>
      </c>
      <c r="F162">
        <v>3</v>
      </c>
      <c r="G162">
        <v>3897</v>
      </c>
      <c r="H162" t="s">
        <v>89</v>
      </c>
      <c r="I162" t="s">
        <v>16</v>
      </c>
      <c r="J162" t="s">
        <v>25</v>
      </c>
      <c r="K162" t="s">
        <v>18</v>
      </c>
    </row>
    <row r="163" spans="1:11">
      <c r="A163" t="s">
        <v>336</v>
      </c>
      <c r="B163" t="s">
        <v>229</v>
      </c>
      <c r="C163" t="s">
        <v>28</v>
      </c>
      <c r="D163" t="s">
        <v>29</v>
      </c>
      <c r="E163">
        <v>1299</v>
      </c>
      <c r="F163">
        <v>1</v>
      </c>
      <c r="G163">
        <v>1299</v>
      </c>
      <c r="H163" t="s">
        <v>23</v>
      </c>
      <c r="I163" t="s">
        <v>57</v>
      </c>
      <c r="J163" t="s">
        <v>38</v>
      </c>
      <c r="K163" t="s">
        <v>18</v>
      </c>
    </row>
    <row r="164" spans="1:11">
      <c r="A164" t="s">
        <v>337</v>
      </c>
      <c r="B164" t="s">
        <v>338</v>
      </c>
      <c r="C164" t="s">
        <v>76</v>
      </c>
      <c r="D164" t="s">
        <v>49</v>
      </c>
      <c r="E164">
        <v>1599</v>
      </c>
      <c r="F164">
        <v>4</v>
      </c>
      <c r="G164">
        <v>6396</v>
      </c>
      <c r="H164" t="s">
        <v>62</v>
      </c>
      <c r="I164" t="s">
        <v>67</v>
      </c>
      <c r="J164" t="s">
        <v>25</v>
      </c>
      <c r="K164" t="s">
        <v>18</v>
      </c>
    </row>
    <row r="165" spans="1:11">
      <c r="A165" t="s">
        <v>339</v>
      </c>
      <c r="B165" t="s">
        <v>340</v>
      </c>
      <c r="C165" t="s">
        <v>87</v>
      </c>
      <c r="D165" t="s">
        <v>88</v>
      </c>
      <c r="E165">
        <v>5499</v>
      </c>
      <c r="F165">
        <v>3</v>
      </c>
      <c r="G165">
        <v>16497</v>
      </c>
      <c r="H165" t="s">
        <v>102</v>
      </c>
      <c r="I165" t="s">
        <v>98</v>
      </c>
      <c r="J165" t="s">
        <v>25</v>
      </c>
      <c r="K165" t="s">
        <v>45</v>
      </c>
    </row>
    <row r="166" spans="1:11">
      <c r="A166" t="s">
        <v>341</v>
      </c>
      <c r="B166" t="s">
        <v>145</v>
      </c>
      <c r="C166" t="s">
        <v>36</v>
      </c>
      <c r="D166" t="s">
        <v>29</v>
      </c>
      <c r="E166">
        <v>1999</v>
      </c>
      <c r="F166">
        <v>2</v>
      </c>
      <c r="G166">
        <v>3998</v>
      </c>
      <c r="H166" t="s">
        <v>56</v>
      </c>
      <c r="I166" t="s">
        <v>44</v>
      </c>
      <c r="J166" t="s">
        <v>25</v>
      </c>
      <c r="K166" t="s">
        <v>18</v>
      </c>
    </row>
    <row r="167" spans="1:11">
      <c r="A167" t="s">
        <v>342</v>
      </c>
      <c r="B167" t="s">
        <v>343</v>
      </c>
      <c r="C167" t="s">
        <v>162</v>
      </c>
      <c r="D167" t="s">
        <v>29</v>
      </c>
      <c r="E167">
        <v>1799</v>
      </c>
      <c r="F167">
        <v>3</v>
      </c>
      <c r="G167">
        <v>5397</v>
      </c>
      <c r="H167" t="s">
        <v>186</v>
      </c>
      <c r="I167" t="s">
        <v>98</v>
      </c>
      <c r="J167" t="s">
        <v>90</v>
      </c>
      <c r="K167" t="s">
        <v>18</v>
      </c>
    </row>
    <row r="168" spans="1:11">
      <c r="A168" t="s">
        <v>344</v>
      </c>
      <c r="B168" t="s">
        <v>237</v>
      </c>
      <c r="C168" t="s">
        <v>101</v>
      </c>
      <c r="D168" t="s">
        <v>81</v>
      </c>
      <c r="E168">
        <v>499</v>
      </c>
      <c r="F168">
        <v>2</v>
      </c>
      <c r="G168">
        <v>998</v>
      </c>
      <c r="H168" t="s">
        <v>119</v>
      </c>
      <c r="I168" t="s">
        <v>63</v>
      </c>
      <c r="J168" t="s">
        <v>32</v>
      </c>
      <c r="K168" t="s">
        <v>45</v>
      </c>
    </row>
    <row r="169" spans="1:11">
      <c r="A169" t="s">
        <v>345</v>
      </c>
      <c r="B169" t="s">
        <v>325</v>
      </c>
      <c r="C169" t="s">
        <v>70</v>
      </c>
      <c r="D169" t="s">
        <v>29</v>
      </c>
      <c r="E169">
        <v>799</v>
      </c>
      <c r="F169">
        <v>5</v>
      </c>
      <c r="G169">
        <v>3995</v>
      </c>
      <c r="H169" t="s">
        <v>102</v>
      </c>
      <c r="I169" t="s">
        <v>24</v>
      </c>
      <c r="J169" t="s">
        <v>17</v>
      </c>
      <c r="K169" t="s">
        <v>45</v>
      </c>
    </row>
    <row r="170" spans="1:11">
      <c r="A170" t="s">
        <v>346</v>
      </c>
      <c r="B170" t="s">
        <v>347</v>
      </c>
      <c r="C170" t="s">
        <v>36</v>
      </c>
      <c r="D170" t="s">
        <v>29</v>
      </c>
      <c r="E170">
        <v>1999</v>
      </c>
      <c r="F170">
        <v>2</v>
      </c>
      <c r="G170">
        <v>3998</v>
      </c>
      <c r="H170" t="s">
        <v>30</v>
      </c>
      <c r="I170" t="s">
        <v>125</v>
      </c>
      <c r="J170" t="s">
        <v>25</v>
      </c>
      <c r="K170" t="s">
        <v>18</v>
      </c>
    </row>
    <row r="171" spans="1:11">
      <c r="A171" t="s">
        <v>348</v>
      </c>
      <c r="B171" t="s">
        <v>104</v>
      </c>
      <c r="C171" t="s">
        <v>122</v>
      </c>
      <c r="D171" t="s">
        <v>29</v>
      </c>
      <c r="E171">
        <v>1299</v>
      </c>
      <c r="F171">
        <v>3</v>
      </c>
      <c r="G171">
        <v>3897</v>
      </c>
      <c r="H171" t="s">
        <v>66</v>
      </c>
      <c r="I171" t="s">
        <v>16</v>
      </c>
      <c r="J171" t="s">
        <v>17</v>
      </c>
      <c r="K171" t="s">
        <v>45</v>
      </c>
    </row>
    <row r="172" spans="1:11">
      <c r="A172" t="s">
        <v>349</v>
      </c>
      <c r="B172" t="s">
        <v>310</v>
      </c>
      <c r="C172" t="s">
        <v>28</v>
      </c>
      <c r="D172" t="s">
        <v>29</v>
      </c>
      <c r="E172">
        <v>1299</v>
      </c>
      <c r="F172">
        <v>2</v>
      </c>
      <c r="G172">
        <v>2598</v>
      </c>
      <c r="H172" t="s">
        <v>62</v>
      </c>
      <c r="I172" t="s">
        <v>57</v>
      </c>
      <c r="J172" t="s">
        <v>32</v>
      </c>
      <c r="K172" t="s">
        <v>18</v>
      </c>
    </row>
    <row r="173" spans="1:11">
      <c r="A173" t="s">
        <v>350</v>
      </c>
      <c r="B173" t="s">
        <v>314</v>
      </c>
      <c r="C173" t="s">
        <v>162</v>
      </c>
      <c r="D173" t="s">
        <v>29</v>
      </c>
      <c r="E173">
        <v>1799</v>
      </c>
      <c r="F173">
        <v>3</v>
      </c>
      <c r="G173">
        <v>5397</v>
      </c>
      <c r="H173" t="s">
        <v>71</v>
      </c>
      <c r="I173" t="s">
        <v>82</v>
      </c>
      <c r="J173" t="s">
        <v>32</v>
      </c>
      <c r="K173" t="s">
        <v>45</v>
      </c>
    </row>
    <row r="174" spans="1:11">
      <c r="A174" t="s">
        <v>351</v>
      </c>
      <c r="B174" t="s">
        <v>217</v>
      </c>
      <c r="C174" t="s">
        <v>101</v>
      </c>
      <c r="D174" t="s">
        <v>81</v>
      </c>
      <c r="E174">
        <v>499</v>
      </c>
      <c r="F174">
        <v>3</v>
      </c>
      <c r="G174">
        <v>1497</v>
      </c>
      <c r="H174" t="s">
        <v>66</v>
      </c>
      <c r="I174" t="s">
        <v>125</v>
      </c>
      <c r="J174" t="s">
        <v>25</v>
      </c>
      <c r="K174" t="s">
        <v>45</v>
      </c>
    </row>
    <row r="175" spans="1:11">
      <c r="A175" t="s">
        <v>352</v>
      </c>
      <c r="B175" t="s">
        <v>340</v>
      </c>
      <c r="C175" t="s">
        <v>21</v>
      </c>
      <c r="D175" t="s">
        <v>22</v>
      </c>
      <c r="E175">
        <v>1499</v>
      </c>
      <c r="F175">
        <v>2</v>
      </c>
      <c r="G175">
        <v>2998</v>
      </c>
      <c r="H175" t="s">
        <v>186</v>
      </c>
      <c r="I175" t="s">
        <v>67</v>
      </c>
      <c r="J175" t="s">
        <v>17</v>
      </c>
      <c r="K175" t="s">
        <v>18</v>
      </c>
    </row>
    <row r="176" spans="1:11">
      <c r="A176" t="s">
        <v>353</v>
      </c>
      <c r="B176" t="s">
        <v>354</v>
      </c>
      <c r="C176" t="s">
        <v>28</v>
      </c>
      <c r="D176" t="s">
        <v>29</v>
      </c>
      <c r="E176">
        <v>1299</v>
      </c>
      <c r="F176">
        <v>4</v>
      </c>
      <c r="G176">
        <v>5196</v>
      </c>
      <c r="H176" t="s">
        <v>56</v>
      </c>
      <c r="I176" t="s">
        <v>57</v>
      </c>
      <c r="J176" t="s">
        <v>90</v>
      </c>
      <c r="K176" t="s">
        <v>18</v>
      </c>
    </row>
    <row r="177" spans="1:11">
      <c r="A177" t="s">
        <v>355</v>
      </c>
      <c r="B177" t="s">
        <v>356</v>
      </c>
      <c r="C177" t="s">
        <v>36</v>
      </c>
      <c r="D177" t="s">
        <v>29</v>
      </c>
      <c r="E177">
        <v>1999</v>
      </c>
      <c r="F177">
        <v>4</v>
      </c>
      <c r="G177">
        <v>7996</v>
      </c>
      <c r="H177" t="s">
        <v>66</v>
      </c>
      <c r="I177" t="s">
        <v>105</v>
      </c>
      <c r="J177" t="s">
        <v>25</v>
      </c>
      <c r="K177" t="s">
        <v>18</v>
      </c>
    </row>
    <row r="178" spans="1:11">
      <c r="A178" t="s">
        <v>357</v>
      </c>
      <c r="B178" t="s">
        <v>358</v>
      </c>
      <c r="C178" t="s">
        <v>28</v>
      </c>
      <c r="D178" t="s">
        <v>29</v>
      </c>
      <c r="E178">
        <v>1299</v>
      </c>
      <c r="F178">
        <v>3</v>
      </c>
      <c r="G178">
        <v>3897</v>
      </c>
      <c r="H178" t="s">
        <v>71</v>
      </c>
      <c r="I178" t="s">
        <v>31</v>
      </c>
      <c r="J178" t="s">
        <v>90</v>
      </c>
      <c r="K178" t="s">
        <v>45</v>
      </c>
    </row>
    <row r="179" spans="1:11">
      <c r="A179" t="s">
        <v>359</v>
      </c>
      <c r="B179" t="s">
        <v>20</v>
      </c>
      <c r="C179" t="s">
        <v>13</v>
      </c>
      <c r="D179" t="s">
        <v>14</v>
      </c>
      <c r="E179">
        <v>2499</v>
      </c>
      <c r="F179">
        <v>4</v>
      </c>
      <c r="G179">
        <v>9996</v>
      </c>
      <c r="H179" t="s">
        <v>43</v>
      </c>
      <c r="I179" t="s">
        <v>57</v>
      </c>
      <c r="J179" t="s">
        <v>32</v>
      </c>
      <c r="K179" t="s">
        <v>18</v>
      </c>
    </row>
    <row r="180" spans="1:11">
      <c r="A180" t="s">
        <v>360</v>
      </c>
      <c r="B180" t="s">
        <v>361</v>
      </c>
      <c r="C180" t="s">
        <v>52</v>
      </c>
      <c r="D180" t="s">
        <v>53</v>
      </c>
      <c r="E180">
        <v>199</v>
      </c>
      <c r="F180">
        <v>2</v>
      </c>
      <c r="G180">
        <v>398</v>
      </c>
      <c r="H180" t="s">
        <v>37</v>
      </c>
      <c r="I180" t="s">
        <v>63</v>
      </c>
      <c r="J180" t="s">
        <v>25</v>
      </c>
      <c r="K180" t="s">
        <v>18</v>
      </c>
    </row>
    <row r="181" spans="1:11">
      <c r="A181" t="s">
        <v>362</v>
      </c>
      <c r="B181" t="s">
        <v>215</v>
      </c>
      <c r="C181" t="s">
        <v>80</v>
      </c>
      <c r="D181" t="s">
        <v>81</v>
      </c>
      <c r="E181">
        <v>299</v>
      </c>
      <c r="F181">
        <v>1</v>
      </c>
      <c r="G181">
        <v>299</v>
      </c>
      <c r="H181" t="s">
        <v>37</v>
      </c>
      <c r="I181" t="s">
        <v>57</v>
      </c>
      <c r="J181" t="s">
        <v>25</v>
      </c>
      <c r="K181" t="s">
        <v>18</v>
      </c>
    </row>
    <row r="182" spans="1:11">
      <c r="A182" t="s">
        <v>363</v>
      </c>
      <c r="B182" t="s">
        <v>255</v>
      </c>
      <c r="C182" t="s">
        <v>76</v>
      </c>
      <c r="D182" t="s">
        <v>49</v>
      </c>
      <c r="E182">
        <v>1599</v>
      </c>
      <c r="F182">
        <v>4</v>
      </c>
      <c r="G182">
        <v>6396</v>
      </c>
      <c r="H182" t="s">
        <v>37</v>
      </c>
      <c r="I182" t="s">
        <v>67</v>
      </c>
      <c r="J182" t="s">
        <v>25</v>
      </c>
      <c r="K182" t="s">
        <v>33</v>
      </c>
    </row>
    <row r="183" spans="1:11">
      <c r="A183" t="s">
        <v>364</v>
      </c>
      <c r="B183" t="s">
        <v>365</v>
      </c>
      <c r="C183" t="s">
        <v>70</v>
      </c>
      <c r="D183" t="s">
        <v>29</v>
      </c>
      <c r="E183">
        <v>799</v>
      </c>
      <c r="F183">
        <v>2</v>
      </c>
      <c r="G183">
        <v>1598</v>
      </c>
      <c r="H183" t="s">
        <v>95</v>
      </c>
      <c r="I183" t="s">
        <v>98</v>
      </c>
      <c r="J183" t="s">
        <v>38</v>
      </c>
      <c r="K183" t="s">
        <v>18</v>
      </c>
    </row>
    <row r="184" spans="1:11">
      <c r="A184" t="s">
        <v>366</v>
      </c>
      <c r="B184" t="s">
        <v>192</v>
      </c>
      <c r="C184" t="s">
        <v>101</v>
      </c>
      <c r="D184" t="s">
        <v>81</v>
      </c>
      <c r="E184">
        <v>499</v>
      </c>
      <c r="F184">
        <v>1</v>
      </c>
      <c r="G184">
        <v>499</v>
      </c>
      <c r="H184" t="s">
        <v>66</v>
      </c>
      <c r="I184" t="s">
        <v>24</v>
      </c>
      <c r="J184" t="s">
        <v>32</v>
      </c>
      <c r="K184" t="s">
        <v>18</v>
      </c>
    </row>
    <row r="185" spans="1:11">
      <c r="A185" t="s">
        <v>367</v>
      </c>
      <c r="B185" t="s">
        <v>338</v>
      </c>
      <c r="C185" t="s">
        <v>70</v>
      </c>
      <c r="D185" t="s">
        <v>29</v>
      </c>
      <c r="E185">
        <v>799</v>
      </c>
      <c r="F185">
        <v>1</v>
      </c>
      <c r="G185">
        <v>799</v>
      </c>
      <c r="H185" t="s">
        <v>56</v>
      </c>
      <c r="I185" t="s">
        <v>98</v>
      </c>
      <c r="J185" t="s">
        <v>38</v>
      </c>
      <c r="K185" t="s">
        <v>33</v>
      </c>
    </row>
    <row r="186" spans="1:11">
      <c r="A186" t="s">
        <v>368</v>
      </c>
      <c r="B186" t="s">
        <v>12</v>
      </c>
      <c r="C186" t="s">
        <v>162</v>
      </c>
      <c r="D186" t="s">
        <v>29</v>
      </c>
      <c r="E186">
        <v>1799</v>
      </c>
      <c r="F186">
        <v>3</v>
      </c>
      <c r="G186">
        <v>5397</v>
      </c>
      <c r="H186" t="s">
        <v>157</v>
      </c>
      <c r="I186" t="s">
        <v>98</v>
      </c>
      <c r="J186" t="s">
        <v>25</v>
      </c>
      <c r="K186" t="s">
        <v>33</v>
      </c>
    </row>
    <row r="187" spans="1:11">
      <c r="A187" t="s">
        <v>369</v>
      </c>
      <c r="B187" t="s">
        <v>279</v>
      </c>
      <c r="C187" t="s">
        <v>162</v>
      </c>
      <c r="D187" t="s">
        <v>29</v>
      </c>
      <c r="E187">
        <v>1799</v>
      </c>
      <c r="F187">
        <v>5</v>
      </c>
      <c r="G187">
        <v>8995</v>
      </c>
      <c r="H187" t="s">
        <v>62</v>
      </c>
      <c r="I187" t="s">
        <v>63</v>
      </c>
      <c r="J187" t="s">
        <v>32</v>
      </c>
      <c r="K187" t="s">
        <v>18</v>
      </c>
    </row>
    <row r="188" spans="1:11">
      <c r="A188" t="s">
        <v>370</v>
      </c>
      <c r="B188" t="s">
        <v>196</v>
      </c>
      <c r="C188" t="s">
        <v>122</v>
      </c>
      <c r="D188" t="s">
        <v>29</v>
      </c>
      <c r="E188">
        <v>1299</v>
      </c>
      <c r="F188">
        <v>1</v>
      </c>
      <c r="G188">
        <v>1299</v>
      </c>
      <c r="H188" t="s">
        <v>62</v>
      </c>
      <c r="I188" t="s">
        <v>98</v>
      </c>
      <c r="J188" t="s">
        <v>32</v>
      </c>
      <c r="K188" t="s">
        <v>33</v>
      </c>
    </row>
    <row r="189" spans="1:11">
      <c r="A189" t="s">
        <v>371</v>
      </c>
      <c r="B189" t="s">
        <v>177</v>
      </c>
      <c r="C189" t="s">
        <v>21</v>
      </c>
      <c r="D189" t="s">
        <v>22</v>
      </c>
      <c r="E189">
        <v>1499</v>
      </c>
      <c r="F189">
        <v>5</v>
      </c>
      <c r="G189">
        <v>7495</v>
      </c>
      <c r="H189" t="s">
        <v>62</v>
      </c>
      <c r="I189" t="s">
        <v>125</v>
      </c>
      <c r="J189" t="s">
        <v>90</v>
      </c>
      <c r="K189" t="s">
        <v>18</v>
      </c>
    </row>
    <row r="190" spans="1:11">
      <c r="A190" t="s">
        <v>372</v>
      </c>
      <c r="B190" t="s">
        <v>373</v>
      </c>
      <c r="C190" t="s">
        <v>52</v>
      </c>
      <c r="D190" t="s">
        <v>53</v>
      </c>
      <c r="E190">
        <v>199</v>
      </c>
      <c r="F190">
        <v>2</v>
      </c>
      <c r="G190">
        <v>398</v>
      </c>
      <c r="H190" t="s">
        <v>43</v>
      </c>
      <c r="I190" t="s">
        <v>77</v>
      </c>
      <c r="J190" t="s">
        <v>90</v>
      </c>
      <c r="K190" t="s">
        <v>18</v>
      </c>
    </row>
    <row r="191" spans="1:11">
      <c r="A191" t="s">
        <v>374</v>
      </c>
      <c r="B191" t="s">
        <v>375</v>
      </c>
      <c r="C191" t="s">
        <v>70</v>
      </c>
      <c r="D191" t="s">
        <v>29</v>
      </c>
      <c r="E191">
        <v>799</v>
      </c>
      <c r="F191">
        <v>3</v>
      </c>
      <c r="G191">
        <v>2397</v>
      </c>
      <c r="H191" t="s">
        <v>15</v>
      </c>
      <c r="I191" t="s">
        <v>105</v>
      </c>
      <c r="J191" t="s">
        <v>25</v>
      </c>
      <c r="K191" t="s">
        <v>45</v>
      </c>
    </row>
    <row r="192" spans="1:11">
      <c r="A192" t="s">
        <v>376</v>
      </c>
      <c r="B192" t="s">
        <v>377</v>
      </c>
      <c r="C192" t="s">
        <v>135</v>
      </c>
      <c r="D192" t="s">
        <v>29</v>
      </c>
      <c r="E192">
        <v>3999</v>
      </c>
      <c r="F192">
        <v>4</v>
      </c>
      <c r="G192">
        <v>15996</v>
      </c>
      <c r="H192" t="s">
        <v>186</v>
      </c>
      <c r="I192" t="s">
        <v>57</v>
      </c>
      <c r="J192" t="s">
        <v>90</v>
      </c>
      <c r="K192" t="s">
        <v>18</v>
      </c>
    </row>
    <row r="193" spans="1:11">
      <c r="A193" t="s">
        <v>378</v>
      </c>
      <c r="B193" t="s">
        <v>379</v>
      </c>
      <c r="C193" t="s">
        <v>36</v>
      </c>
      <c r="D193" t="s">
        <v>29</v>
      </c>
      <c r="E193">
        <v>1999</v>
      </c>
      <c r="F193">
        <v>2</v>
      </c>
      <c r="G193">
        <v>3998</v>
      </c>
      <c r="H193" t="s">
        <v>71</v>
      </c>
      <c r="I193" t="s">
        <v>77</v>
      </c>
      <c r="J193" t="s">
        <v>32</v>
      </c>
      <c r="K193" t="s">
        <v>18</v>
      </c>
    </row>
    <row r="194" spans="1:11">
      <c r="A194" t="s">
        <v>380</v>
      </c>
      <c r="B194" t="s">
        <v>381</v>
      </c>
      <c r="C194" t="s">
        <v>52</v>
      </c>
      <c r="D194" t="s">
        <v>53</v>
      </c>
      <c r="E194">
        <v>199</v>
      </c>
      <c r="F194">
        <v>3</v>
      </c>
      <c r="G194">
        <v>597</v>
      </c>
      <c r="H194" t="s">
        <v>102</v>
      </c>
      <c r="I194" t="s">
        <v>105</v>
      </c>
      <c r="J194" t="s">
        <v>25</v>
      </c>
      <c r="K194" t="s">
        <v>18</v>
      </c>
    </row>
    <row r="195" spans="1:11">
      <c r="A195" t="s">
        <v>382</v>
      </c>
      <c r="B195" t="s">
        <v>246</v>
      </c>
      <c r="C195" t="s">
        <v>21</v>
      </c>
      <c r="D195" t="s">
        <v>22</v>
      </c>
      <c r="E195">
        <v>1499</v>
      </c>
      <c r="F195">
        <v>4</v>
      </c>
      <c r="G195">
        <v>5996</v>
      </c>
      <c r="H195" t="s">
        <v>23</v>
      </c>
      <c r="I195" t="s">
        <v>82</v>
      </c>
      <c r="J195" t="s">
        <v>17</v>
      </c>
      <c r="K195" t="s">
        <v>18</v>
      </c>
    </row>
    <row r="196" spans="1:11">
      <c r="A196" t="s">
        <v>383</v>
      </c>
      <c r="B196" t="s">
        <v>161</v>
      </c>
      <c r="C196" t="s">
        <v>162</v>
      </c>
      <c r="D196" t="s">
        <v>29</v>
      </c>
      <c r="E196">
        <v>1799</v>
      </c>
      <c r="F196">
        <v>5</v>
      </c>
      <c r="G196">
        <v>8995</v>
      </c>
      <c r="H196" t="s">
        <v>186</v>
      </c>
      <c r="I196" t="s">
        <v>82</v>
      </c>
      <c r="J196" t="s">
        <v>25</v>
      </c>
      <c r="K196" t="s">
        <v>18</v>
      </c>
    </row>
    <row r="197" spans="1:11">
      <c r="A197" t="s">
        <v>384</v>
      </c>
      <c r="B197" t="s">
        <v>354</v>
      </c>
      <c r="C197" t="s">
        <v>101</v>
      </c>
      <c r="D197" t="s">
        <v>81</v>
      </c>
      <c r="E197">
        <v>499</v>
      </c>
      <c r="F197">
        <v>3</v>
      </c>
      <c r="G197">
        <v>1497</v>
      </c>
      <c r="H197" t="s">
        <v>23</v>
      </c>
      <c r="I197" t="s">
        <v>31</v>
      </c>
      <c r="J197" t="s">
        <v>90</v>
      </c>
      <c r="K197" t="s">
        <v>45</v>
      </c>
    </row>
    <row r="198" spans="1:11">
      <c r="A198" t="s">
        <v>385</v>
      </c>
      <c r="B198" t="s">
        <v>215</v>
      </c>
      <c r="C198" t="s">
        <v>101</v>
      </c>
      <c r="D198" t="s">
        <v>81</v>
      </c>
      <c r="E198">
        <v>499</v>
      </c>
      <c r="F198">
        <v>2</v>
      </c>
      <c r="G198">
        <v>998</v>
      </c>
      <c r="H198" t="s">
        <v>157</v>
      </c>
      <c r="I198" t="s">
        <v>105</v>
      </c>
      <c r="J198" t="s">
        <v>90</v>
      </c>
      <c r="K198" t="s">
        <v>18</v>
      </c>
    </row>
    <row r="199" spans="1:11">
      <c r="A199" t="s">
        <v>386</v>
      </c>
      <c r="B199" t="s">
        <v>387</v>
      </c>
      <c r="C199" t="s">
        <v>28</v>
      </c>
      <c r="D199" t="s">
        <v>29</v>
      </c>
      <c r="E199">
        <v>1299</v>
      </c>
      <c r="F199">
        <v>2</v>
      </c>
      <c r="G199">
        <v>2598</v>
      </c>
      <c r="H199" t="s">
        <v>43</v>
      </c>
      <c r="I199" t="s">
        <v>77</v>
      </c>
      <c r="J199" t="s">
        <v>17</v>
      </c>
      <c r="K199" t="s">
        <v>18</v>
      </c>
    </row>
    <row r="200" spans="1:11">
      <c r="A200" t="s">
        <v>388</v>
      </c>
      <c r="B200" t="s">
        <v>389</v>
      </c>
      <c r="C200" t="s">
        <v>135</v>
      </c>
      <c r="D200" t="s">
        <v>29</v>
      </c>
      <c r="E200">
        <v>3999</v>
      </c>
      <c r="F200">
        <v>3</v>
      </c>
      <c r="G200">
        <v>11997</v>
      </c>
      <c r="H200" t="s">
        <v>37</v>
      </c>
      <c r="I200" t="s">
        <v>24</v>
      </c>
      <c r="J200" t="s">
        <v>17</v>
      </c>
      <c r="K200" t="s">
        <v>18</v>
      </c>
    </row>
    <row r="201" spans="1:11">
      <c r="A201" t="s">
        <v>390</v>
      </c>
      <c r="B201" t="s">
        <v>391</v>
      </c>
      <c r="C201" t="s">
        <v>76</v>
      </c>
      <c r="D201" t="s">
        <v>49</v>
      </c>
      <c r="E201">
        <v>1599</v>
      </c>
      <c r="F201">
        <v>5</v>
      </c>
      <c r="G201">
        <v>7995</v>
      </c>
      <c r="H201" t="s">
        <v>43</v>
      </c>
      <c r="I201" t="s">
        <v>16</v>
      </c>
      <c r="J201" t="s">
        <v>17</v>
      </c>
      <c r="K201" t="s">
        <v>18</v>
      </c>
    </row>
    <row r="202" spans="1:11">
      <c r="A202" t="s">
        <v>392</v>
      </c>
      <c r="B202" t="s">
        <v>185</v>
      </c>
      <c r="C202" t="s">
        <v>87</v>
      </c>
      <c r="D202" t="s">
        <v>88</v>
      </c>
      <c r="E202">
        <v>5499</v>
      </c>
      <c r="F202">
        <v>4</v>
      </c>
      <c r="G202">
        <v>21996</v>
      </c>
      <c r="H202" t="s">
        <v>56</v>
      </c>
      <c r="I202" t="s">
        <v>82</v>
      </c>
      <c r="J202" t="s">
        <v>32</v>
      </c>
      <c r="K202" t="s">
        <v>18</v>
      </c>
    </row>
    <row r="203" spans="1:11">
      <c r="A203" t="s">
        <v>393</v>
      </c>
      <c r="B203" t="s">
        <v>356</v>
      </c>
      <c r="C203" t="s">
        <v>122</v>
      </c>
      <c r="D203" t="s">
        <v>29</v>
      </c>
      <c r="E203">
        <v>1299</v>
      </c>
      <c r="F203">
        <v>4</v>
      </c>
      <c r="G203">
        <v>5196</v>
      </c>
      <c r="H203" t="s">
        <v>71</v>
      </c>
      <c r="I203" t="s">
        <v>44</v>
      </c>
      <c r="J203" t="s">
        <v>90</v>
      </c>
      <c r="K203" t="s">
        <v>33</v>
      </c>
    </row>
    <row r="204" spans="1:11">
      <c r="A204" t="s">
        <v>394</v>
      </c>
      <c r="B204" t="s">
        <v>395</v>
      </c>
      <c r="C204" t="s">
        <v>70</v>
      </c>
      <c r="D204" t="s">
        <v>29</v>
      </c>
      <c r="E204">
        <v>799</v>
      </c>
      <c r="F204">
        <v>1</v>
      </c>
      <c r="G204">
        <v>799</v>
      </c>
      <c r="H204" t="s">
        <v>37</v>
      </c>
      <c r="I204" t="s">
        <v>31</v>
      </c>
      <c r="J204" t="s">
        <v>25</v>
      </c>
      <c r="K204" t="s">
        <v>18</v>
      </c>
    </row>
    <row r="205" spans="1:11">
      <c r="A205" t="s">
        <v>396</v>
      </c>
      <c r="B205" t="s">
        <v>156</v>
      </c>
      <c r="C205" t="s">
        <v>60</v>
      </c>
      <c r="D205" t="s">
        <v>61</v>
      </c>
      <c r="E205">
        <v>899</v>
      </c>
      <c r="F205">
        <v>4</v>
      </c>
      <c r="G205">
        <v>3596</v>
      </c>
      <c r="H205" t="s">
        <v>71</v>
      </c>
      <c r="I205" t="s">
        <v>16</v>
      </c>
      <c r="J205" t="s">
        <v>38</v>
      </c>
      <c r="K205" t="s">
        <v>33</v>
      </c>
    </row>
    <row r="206" spans="1:11">
      <c r="A206" t="s">
        <v>397</v>
      </c>
      <c r="B206" t="s">
        <v>398</v>
      </c>
      <c r="C206" t="s">
        <v>122</v>
      </c>
      <c r="D206" t="s">
        <v>29</v>
      </c>
      <c r="E206">
        <v>1299</v>
      </c>
      <c r="F206">
        <v>4</v>
      </c>
      <c r="G206">
        <v>5196</v>
      </c>
      <c r="H206" t="s">
        <v>71</v>
      </c>
      <c r="I206" t="s">
        <v>125</v>
      </c>
      <c r="J206" t="s">
        <v>25</v>
      </c>
      <c r="K206" t="s">
        <v>18</v>
      </c>
    </row>
    <row r="207" spans="1:11">
      <c r="A207" t="s">
        <v>399</v>
      </c>
      <c r="B207" t="s">
        <v>265</v>
      </c>
      <c r="C207" t="s">
        <v>52</v>
      </c>
      <c r="D207" t="s">
        <v>53</v>
      </c>
      <c r="E207">
        <v>199</v>
      </c>
      <c r="F207">
        <v>4</v>
      </c>
      <c r="G207">
        <v>796</v>
      </c>
      <c r="H207" t="s">
        <v>71</v>
      </c>
      <c r="I207" t="s">
        <v>44</v>
      </c>
      <c r="J207" t="s">
        <v>17</v>
      </c>
      <c r="K207" t="s">
        <v>18</v>
      </c>
    </row>
    <row r="208" spans="1:11">
      <c r="A208" t="s">
        <v>400</v>
      </c>
      <c r="B208" t="s">
        <v>361</v>
      </c>
      <c r="C208" t="s">
        <v>122</v>
      </c>
      <c r="D208" t="s">
        <v>29</v>
      </c>
      <c r="E208">
        <v>1299</v>
      </c>
      <c r="F208">
        <v>2</v>
      </c>
      <c r="G208">
        <v>2598</v>
      </c>
      <c r="H208" t="s">
        <v>37</v>
      </c>
      <c r="I208" t="s">
        <v>63</v>
      </c>
      <c r="J208" t="s">
        <v>25</v>
      </c>
      <c r="K208" t="s">
        <v>45</v>
      </c>
    </row>
    <row r="209" spans="1:11">
      <c r="A209" t="s">
        <v>401</v>
      </c>
      <c r="B209" t="s">
        <v>402</v>
      </c>
      <c r="C209" t="s">
        <v>13</v>
      </c>
      <c r="D209" t="s">
        <v>14</v>
      </c>
      <c r="E209">
        <v>2499</v>
      </c>
      <c r="F209">
        <v>2</v>
      </c>
      <c r="G209">
        <v>4998</v>
      </c>
      <c r="H209" t="s">
        <v>66</v>
      </c>
      <c r="I209" t="s">
        <v>82</v>
      </c>
      <c r="J209" t="s">
        <v>38</v>
      </c>
      <c r="K209" t="s">
        <v>45</v>
      </c>
    </row>
    <row r="210" spans="1:11">
      <c r="A210" t="s">
        <v>403</v>
      </c>
      <c r="B210" t="s">
        <v>175</v>
      </c>
      <c r="C210" t="s">
        <v>80</v>
      </c>
      <c r="D210" t="s">
        <v>81</v>
      </c>
      <c r="E210">
        <v>299</v>
      </c>
      <c r="F210">
        <v>3</v>
      </c>
      <c r="G210">
        <v>897</v>
      </c>
      <c r="H210" t="s">
        <v>66</v>
      </c>
      <c r="I210" t="s">
        <v>67</v>
      </c>
      <c r="J210" t="s">
        <v>90</v>
      </c>
      <c r="K210" t="s">
        <v>45</v>
      </c>
    </row>
    <row r="211" spans="1:11">
      <c r="A211" t="s">
        <v>404</v>
      </c>
      <c r="B211" t="s">
        <v>377</v>
      </c>
      <c r="C211" t="s">
        <v>28</v>
      </c>
      <c r="D211" t="s">
        <v>29</v>
      </c>
      <c r="E211">
        <v>1299</v>
      </c>
      <c r="F211">
        <v>3</v>
      </c>
      <c r="G211">
        <v>3897</v>
      </c>
      <c r="H211" t="s">
        <v>23</v>
      </c>
      <c r="I211" t="s">
        <v>125</v>
      </c>
      <c r="J211" t="s">
        <v>90</v>
      </c>
      <c r="K211" t="s">
        <v>18</v>
      </c>
    </row>
    <row r="212" spans="1:11">
      <c r="A212" t="s">
        <v>405</v>
      </c>
      <c r="B212" t="s">
        <v>406</v>
      </c>
      <c r="C212" t="s">
        <v>36</v>
      </c>
      <c r="D212" t="s">
        <v>29</v>
      </c>
      <c r="E212">
        <v>1999</v>
      </c>
      <c r="F212">
        <v>1</v>
      </c>
      <c r="G212">
        <v>1999</v>
      </c>
      <c r="H212" t="s">
        <v>30</v>
      </c>
      <c r="I212" t="s">
        <v>82</v>
      </c>
      <c r="J212" t="s">
        <v>17</v>
      </c>
      <c r="K212" t="s">
        <v>33</v>
      </c>
    </row>
    <row r="213" spans="1:11">
      <c r="A213" t="s">
        <v>407</v>
      </c>
      <c r="B213" t="s">
        <v>408</v>
      </c>
      <c r="C213" t="s">
        <v>13</v>
      </c>
      <c r="D213" t="s">
        <v>14</v>
      </c>
      <c r="E213">
        <v>2499</v>
      </c>
      <c r="F213">
        <v>4</v>
      </c>
      <c r="G213">
        <v>9996</v>
      </c>
      <c r="H213" t="s">
        <v>43</v>
      </c>
      <c r="I213" t="s">
        <v>31</v>
      </c>
      <c r="J213" t="s">
        <v>25</v>
      </c>
      <c r="K213" t="s">
        <v>45</v>
      </c>
    </row>
    <row r="214" spans="1:11">
      <c r="A214" t="s">
        <v>409</v>
      </c>
      <c r="B214" t="s">
        <v>243</v>
      </c>
      <c r="C214" t="s">
        <v>36</v>
      </c>
      <c r="D214" t="s">
        <v>29</v>
      </c>
      <c r="E214">
        <v>1999</v>
      </c>
      <c r="F214">
        <v>1</v>
      </c>
      <c r="G214">
        <v>1999</v>
      </c>
      <c r="H214" t="s">
        <v>95</v>
      </c>
      <c r="I214" t="s">
        <v>98</v>
      </c>
      <c r="J214" t="s">
        <v>32</v>
      </c>
      <c r="K214" t="s">
        <v>18</v>
      </c>
    </row>
    <row r="215" spans="1:11">
      <c r="A215" t="s">
        <v>410</v>
      </c>
      <c r="B215" t="s">
        <v>219</v>
      </c>
      <c r="C215" t="s">
        <v>80</v>
      </c>
      <c r="D215" t="s">
        <v>81</v>
      </c>
      <c r="E215">
        <v>299</v>
      </c>
      <c r="F215">
        <v>4</v>
      </c>
      <c r="G215">
        <v>1196</v>
      </c>
      <c r="H215" t="s">
        <v>30</v>
      </c>
      <c r="I215" t="s">
        <v>63</v>
      </c>
      <c r="J215" t="s">
        <v>38</v>
      </c>
      <c r="K215" t="s">
        <v>18</v>
      </c>
    </row>
    <row r="216" spans="1:11">
      <c r="A216" t="s">
        <v>411</v>
      </c>
      <c r="B216" t="s">
        <v>132</v>
      </c>
      <c r="C216" t="s">
        <v>28</v>
      </c>
      <c r="D216" t="s">
        <v>29</v>
      </c>
      <c r="E216">
        <v>1299</v>
      </c>
      <c r="F216">
        <v>2</v>
      </c>
      <c r="G216">
        <v>2598</v>
      </c>
      <c r="H216" t="s">
        <v>56</v>
      </c>
      <c r="I216" t="s">
        <v>125</v>
      </c>
      <c r="J216" t="s">
        <v>32</v>
      </c>
      <c r="K216" t="s">
        <v>45</v>
      </c>
    </row>
    <row r="217" spans="1:11">
      <c r="A217" t="s">
        <v>412</v>
      </c>
      <c r="B217" t="s">
        <v>413</v>
      </c>
      <c r="C217" t="s">
        <v>122</v>
      </c>
      <c r="D217" t="s">
        <v>29</v>
      </c>
      <c r="E217">
        <v>1299</v>
      </c>
      <c r="F217">
        <v>1</v>
      </c>
      <c r="G217">
        <v>1299</v>
      </c>
      <c r="H217" t="s">
        <v>62</v>
      </c>
      <c r="I217" t="s">
        <v>67</v>
      </c>
      <c r="J217" t="s">
        <v>25</v>
      </c>
      <c r="K217" t="s">
        <v>18</v>
      </c>
    </row>
    <row r="218" spans="1:11">
      <c r="A218" t="s">
        <v>414</v>
      </c>
      <c r="B218" t="s">
        <v>415</v>
      </c>
      <c r="C218" t="s">
        <v>76</v>
      </c>
      <c r="D218" t="s">
        <v>49</v>
      </c>
      <c r="E218">
        <v>1599</v>
      </c>
      <c r="F218">
        <v>3</v>
      </c>
      <c r="G218">
        <v>4797</v>
      </c>
      <c r="H218" t="s">
        <v>95</v>
      </c>
      <c r="I218" t="s">
        <v>31</v>
      </c>
      <c r="J218" t="s">
        <v>17</v>
      </c>
      <c r="K218" t="s">
        <v>18</v>
      </c>
    </row>
    <row r="219" spans="1:11">
      <c r="A219" t="s">
        <v>416</v>
      </c>
      <c r="B219" t="s">
        <v>65</v>
      </c>
      <c r="C219" t="s">
        <v>76</v>
      </c>
      <c r="D219" t="s">
        <v>49</v>
      </c>
      <c r="E219">
        <v>1599</v>
      </c>
      <c r="F219">
        <v>5</v>
      </c>
      <c r="G219">
        <v>7995</v>
      </c>
      <c r="H219" t="s">
        <v>186</v>
      </c>
      <c r="I219" t="s">
        <v>57</v>
      </c>
      <c r="J219" t="s">
        <v>25</v>
      </c>
      <c r="K219" t="s">
        <v>18</v>
      </c>
    </row>
    <row r="220" spans="1:11">
      <c r="A220" t="s">
        <v>417</v>
      </c>
      <c r="B220" t="s">
        <v>92</v>
      </c>
      <c r="C220" t="s">
        <v>135</v>
      </c>
      <c r="D220" t="s">
        <v>29</v>
      </c>
      <c r="E220">
        <v>3999</v>
      </c>
      <c r="F220">
        <v>3</v>
      </c>
      <c r="G220">
        <v>11997</v>
      </c>
      <c r="H220" t="s">
        <v>89</v>
      </c>
      <c r="I220" t="s">
        <v>77</v>
      </c>
      <c r="J220" t="s">
        <v>32</v>
      </c>
      <c r="K220" t="s">
        <v>18</v>
      </c>
    </row>
    <row r="221" spans="1:11">
      <c r="A221" t="s">
        <v>418</v>
      </c>
      <c r="B221" t="s">
        <v>150</v>
      </c>
      <c r="C221" t="s">
        <v>36</v>
      </c>
      <c r="D221" t="s">
        <v>29</v>
      </c>
      <c r="E221">
        <v>1999</v>
      </c>
      <c r="F221">
        <v>4</v>
      </c>
      <c r="G221">
        <v>7996</v>
      </c>
      <c r="H221" t="s">
        <v>23</v>
      </c>
      <c r="I221" t="s">
        <v>67</v>
      </c>
      <c r="J221" t="s">
        <v>38</v>
      </c>
      <c r="K221" t="s">
        <v>33</v>
      </c>
    </row>
    <row r="222" spans="1:11">
      <c r="A222" t="s">
        <v>419</v>
      </c>
      <c r="B222" t="s">
        <v>255</v>
      </c>
      <c r="C222" t="s">
        <v>80</v>
      </c>
      <c r="D222" t="s">
        <v>81</v>
      </c>
      <c r="E222">
        <v>299</v>
      </c>
      <c r="F222">
        <v>1</v>
      </c>
      <c r="G222">
        <v>299</v>
      </c>
      <c r="H222" t="s">
        <v>119</v>
      </c>
      <c r="I222" t="s">
        <v>125</v>
      </c>
      <c r="J222" t="s">
        <v>17</v>
      </c>
      <c r="K222" t="s">
        <v>18</v>
      </c>
    </row>
    <row r="223" spans="1:11">
      <c r="A223" t="s">
        <v>420</v>
      </c>
      <c r="B223" t="s">
        <v>55</v>
      </c>
      <c r="C223" t="s">
        <v>101</v>
      </c>
      <c r="D223" t="s">
        <v>81</v>
      </c>
      <c r="E223">
        <v>499</v>
      </c>
      <c r="F223">
        <v>5</v>
      </c>
      <c r="G223">
        <v>2495</v>
      </c>
      <c r="H223" t="s">
        <v>30</v>
      </c>
      <c r="I223" t="s">
        <v>63</v>
      </c>
      <c r="J223" t="s">
        <v>25</v>
      </c>
      <c r="K223" t="s">
        <v>18</v>
      </c>
    </row>
    <row r="224" spans="1:11">
      <c r="A224" t="s">
        <v>421</v>
      </c>
      <c r="B224" t="s">
        <v>97</v>
      </c>
      <c r="C224" t="s">
        <v>21</v>
      </c>
      <c r="D224" t="s">
        <v>22</v>
      </c>
      <c r="E224">
        <v>1499</v>
      </c>
      <c r="F224">
        <v>3</v>
      </c>
      <c r="G224">
        <v>4497</v>
      </c>
      <c r="H224" t="s">
        <v>62</v>
      </c>
      <c r="I224" t="s">
        <v>31</v>
      </c>
      <c r="J224" t="s">
        <v>90</v>
      </c>
      <c r="K224" t="s">
        <v>18</v>
      </c>
    </row>
    <row r="225" spans="1:11">
      <c r="A225" t="s">
        <v>422</v>
      </c>
      <c r="B225" t="s">
        <v>423</v>
      </c>
      <c r="C225" t="s">
        <v>135</v>
      </c>
      <c r="D225" t="s">
        <v>29</v>
      </c>
      <c r="E225">
        <v>3999</v>
      </c>
      <c r="F225">
        <v>3</v>
      </c>
      <c r="G225">
        <v>11997</v>
      </c>
      <c r="H225" t="s">
        <v>56</v>
      </c>
      <c r="I225" t="s">
        <v>63</v>
      </c>
      <c r="J225" t="s">
        <v>25</v>
      </c>
      <c r="K225" t="s">
        <v>45</v>
      </c>
    </row>
    <row r="226" spans="1:11">
      <c r="A226" t="s">
        <v>424</v>
      </c>
      <c r="B226" t="s">
        <v>300</v>
      </c>
      <c r="C226" t="s">
        <v>80</v>
      </c>
      <c r="D226" t="s">
        <v>81</v>
      </c>
      <c r="E226">
        <v>299</v>
      </c>
      <c r="F226">
        <v>3</v>
      </c>
      <c r="G226">
        <v>897</v>
      </c>
      <c r="H226" t="s">
        <v>186</v>
      </c>
      <c r="I226" t="s">
        <v>16</v>
      </c>
      <c r="J226" t="s">
        <v>90</v>
      </c>
      <c r="K226" t="s">
        <v>18</v>
      </c>
    </row>
    <row r="227" spans="1:11">
      <c r="A227" t="s">
        <v>425</v>
      </c>
      <c r="B227" t="s">
        <v>406</v>
      </c>
      <c r="C227" t="s">
        <v>122</v>
      </c>
      <c r="D227" t="s">
        <v>29</v>
      </c>
      <c r="E227">
        <v>1299</v>
      </c>
      <c r="F227">
        <v>2</v>
      </c>
      <c r="G227">
        <v>2598</v>
      </c>
      <c r="H227" t="s">
        <v>186</v>
      </c>
      <c r="I227" t="s">
        <v>24</v>
      </c>
      <c r="J227" t="s">
        <v>90</v>
      </c>
      <c r="K227" t="s">
        <v>45</v>
      </c>
    </row>
    <row r="228" spans="1:11">
      <c r="A228" t="s">
        <v>426</v>
      </c>
      <c r="B228" t="s">
        <v>387</v>
      </c>
      <c r="C228" t="s">
        <v>80</v>
      </c>
      <c r="D228" t="s">
        <v>81</v>
      </c>
      <c r="E228">
        <v>299</v>
      </c>
      <c r="F228">
        <v>3</v>
      </c>
      <c r="G228">
        <v>897</v>
      </c>
      <c r="H228" t="s">
        <v>37</v>
      </c>
      <c r="I228" t="s">
        <v>98</v>
      </c>
      <c r="J228" t="s">
        <v>25</v>
      </c>
      <c r="K228" t="s">
        <v>18</v>
      </c>
    </row>
    <row r="229" spans="1:11">
      <c r="A229" t="s">
        <v>427</v>
      </c>
      <c r="B229" t="s">
        <v>198</v>
      </c>
      <c r="C229" t="s">
        <v>60</v>
      </c>
      <c r="D229" t="s">
        <v>61</v>
      </c>
      <c r="E229">
        <v>899</v>
      </c>
      <c r="F229">
        <v>1</v>
      </c>
      <c r="G229">
        <v>899</v>
      </c>
      <c r="H229" t="s">
        <v>71</v>
      </c>
      <c r="I229" t="s">
        <v>24</v>
      </c>
      <c r="J229" t="s">
        <v>38</v>
      </c>
      <c r="K229" t="s">
        <v>18</v>
      </c>
    </row>
    <row r="230" spans="1:11">
      <c r="A230" t="s">
        <v>428</v>
      </c>
      <c r="B230" t="s">
        <v>429</v>
      </c>
      <c r="C230" t="s">
        <v>76</v>
      </c>
      <c r="D230" t="s">
        <v>49</v>
      </c>
      <c r="E230">
        <v>1599</v>
      </c>
      <c r="F230">
        <v>5</v>
      </c>
      <c r="G230">
        <v>7995</v>
      </c>
      <c r="H230" t="s">
        <v>66</v>
      </c>
      <c r="I230" t="s">
        <v>105</v>
      </c>
      <c r="J230" t="s">
        <v>38</v>
      </c>
      <c r="K230" t="s">
        <v>18</v>
      </c>
    </row>
    <row r="231" spans="1:11">
      <c r="A231" t="s">
        <v>430</v>
      </c>
      <c r="B231" t="s">
        <v>431</v>
      </c>
      <c r="C231" t="s">
        <v>52</v>
      </c>
      <c r="D231" t="s">
        <v>53</v>
      </c>
      <c r="E231">
        <v>199</v>
      </c>
      <c r="F231">
        <v>2</v>
      </c>
      <c r="G231">
        <v>398</v>
      </c>
      <c r="H231" t="s">
        <v>15</v>
      </c>
      <c r="I231" t="s">
        <v>44</v>
      </c>
      <c r="J231" t="s">
        <v>90</v>
      </c>
      <c r="K231" t="s">
        <v>18</v>
      </c>
    </row>
    <row r="232" spans="1:11">
      <c r="A232" t="s">
        <v>432</v>
      </c>
      <c r="B232" t="s">
        <v>391</v>
      </c>
      <c r="C232" t="s">
        <v>13</v>
      </c>
      <c r="D232" t="s">
        <v>14</v>
      </c>
      <c r="E232">
        <v>2499</v>
      </c>
      <c r="F232">
        <v>4</v>
      </c>
      <c r="G232">
        <v>9996</v>
      </c>
      <c r="H232" t="s">
        <v>71</v>
      </c>
      <c r="I232" t="s">
        <v>77</v>
      </c>
      <c r="J232" t="s">
        <v>17</v>
      </c>
      <c r="K232" t="s">
        <v>33</v>
      </c>
    </row>
    <row r="233" spans="1:11">
      <c r="A233" t="s">
        <v>433</v>
      </c>
      <c r="B233" t="s">
        <v>434</v>
      </c>
      <c r="C233" t="s">
        <v>162</v>
      </c>
      <c r="D233" t="s">
        <v>29</v>
      </c>
      <c r="E233">
        <v>1799</v>
      </c>
      <c r="F233">
        <v>3</v>
      </c>
      <c r="G233">
        <v>5397</v>
      </c>
      <c r="H233" t="s">
        <v>71</v>
      </c>
      <c r="I233" t="s">
        <v>31</v>
      </c>
      <c r="J233" t="s">
        <v>32</v>
      </c>
      <c r="K233" t="s">
        <v>18</v>
      </c>
    </row>
    <row r="234" spans="1:11">
      <c r="A234" t="s">
        <v>435</v>
      </c>
      <c r="B234" t="s">
        <v>156</v>
      </c>
      <c r="C234" t="s">
        <v>36</v>
      </c>
      <c r="D234" t="s">
        <v>29</v>
      </c>
      <c r="E234">
        <v>1999</v>
      </c>
      <c r="F234">
        <v>3</v>
      </c>
      <c r="G234">
        <v>5997</v>
      </c>
      <c r="H234" t="s">
        <v>102</v>
      </c>
      <c r="I234" t="s">
        <v>24</v>
      </c>
      <c r="J234" t="s">
        <v>90</v>
      </c>
      <c r="K234" t="s">
        <v>45</v>
      </c>
    </row>
    <row r="235" spans="1:11">
      <c r="A235" t="s">
        <v>436</v>
      </c>
      <c r="B235" t="s">
        <v>212</v>
      </c>
      <c r="C235" t="s">
        <v>101</v>
      </c>
      <c r="D235" t="s">
        <v>81</v>
      </c>
      <c r="E235">
        <v>499</v>
      </c>
      <c r="F235">
        <v>5</v>
      </c>
      <c r="G235">
        <v>2495</v>
      </c>
      <c r="H235" t="s">
        <v>62</v>
      </c>
      <c r="I235" t="s">
        <v>57</v>
      </c>
      <c r="J235" t="s">
        <v>32</v>
      </c>
      <c r="K235" t="s">
        <v>45</v>
      </c>
    </row>
    <row r="236" spans="1:11">
      <c r="A236" t="s">
        <v>437</v>
      </c>
      <c r="B236" t="s">
        <v>267</v>
      </c>
      <c r="C236" t="s">
        <v>60</v>
      </c>
      <c r="D236" t="s">
        <v>61</v>
      </c>
      <c r="E236">
        <v>899</v>
      </c>
      <c r="F236">
        <v>5</v>
      </c>
      <c r="G236">
        <v>4495</v>
      </c>
      <c r="H236" t="s">
        <v>186</v>
      </c>
      <c r="I236" t="s">
        <v>31</v>
      </c>
      <c r="J236" t="s">
        <v>17</v>
      </c>
      <c r="K236" t="s">
        <v>18</v>
      </c>
    </row>
    <row r="237" spans="1:11">
      <c r="A237" t="s">
        <v>438</v>
      </c>
      <c r="B237" t="s">
        <v>274</v>
      </c>
      <c r="C237" t="s">
        <v>87</v>
      </c>
      <c r="D237" t="s">
        <v>88</v>
      </c>
      <c r="E237">
        <v>5499</v>
      </c>
      <c r="F237">
        <v>2</v>
      </c>
      <c r="G237">
        <v>10998</v>
      </c>
      <c r="H237" t="s">
        <v>37</v>
      </c>
      <c r="I237" t="s">
        <v>82</v>
      </c>
      <c r="J237" t="s">
        <v>25</v>
      </c>
      <c r="K237" t="s">
        <v>18</v>
      </c>
    </row>
    <row r="238" spans="1:11">
      <c r="A238" t="s">
        <v>439</v>
      </c>
      <c r="B238" t="s">
        <v>145</v>
      </c>
      <c r="C238" t="s">
        <v>60</v>
      </c>
      <c r="D238" t="s">
        <v>61</v>
      </c>
      <c r="E238">
        <v>899</v>
      </c>
      <c r="F238">
        <v>1</v>
      </c>
      <c r="G238">
        <v>899</v>
      </c>
      <c r="H238" t="s">
        <v>71</v>
      </c>
      <c r="I238" t="s">
        <v>63</v>
      </c>
      <c r="J238" t="s">
        <v>32</v>
      </c>
      <c r="K238" t="s">
        <v>18</v>
      </c>
    </row>
    <row r="239" spans="1:11">
      <c r="A239" t="s">
        <v>440</v>
      </c>
      <c r="B239" t="s">
        <v>227</v>
      </c>
      <c r="C239" t="s">
        <v>36</v>
      </c>
      <c r="D239" t="s">
        <v>29</v>
      </c>
      <c r="E239">
        <v>1999</v>
      </c>
      <c r="F239">
        <v>5</v>
      </c>
      <c r="G239">
        <v>9995</v>
      </c>
      <c r="H239" t="s">
        <v>62</v>
      </c>
      <c r="I239" t="s">
        <v>77</v>
      </c>
      <c r="J239" t="s">
        <v>17</v>
      </c>
      <c r="K239" t="s">
        <v>18</v>
      </c>
    </row>
    <row r="240" spans="1:11">
      <c r="A240" t="s">
        <v>441</v>
      </c>
      <c r="B240" t="s">
        <v>442</v>
      </c>
      <c r="C240" t="s">
        <v>70</v>
      </c>
      <c r="D240" t="s">
        <v>29</v>
      </c>
      <c r="E240">
        <v>799</v>
      </c>
      <c r="F240">
        <v>3</v>
      </c>
      <c r="G240">
        <v>2397</v>
      </c>
      <c r="H240" t="s">
        <v>15</v>
      </c>
      <c r="I240" t="s">
        <v>16</v>
      </c>
      <c r="J240" t="s">
        <v>32</v>
      </c>
      <c r="K240" t="s">
        <v>18</v>
      </c>
    </row>
    <row r="241" spans="1:11">
      <c r="A241" t="s">
        <v>443</v>
      </c>
      <c r="B241" t="s">
        <v>347</v>
      </c>
      <c r="C241" t="s">
        <v>36</v>
      </c>
      <c r="D241" t="s">
        <v>29</v>
      </c>
      <c r="E241">
        <v>1999</v>
      </c>
      <c r="F241">
        <v>3</v>
      </c>
      <c r="G241">
        <v>5997</v>
      </c>
      <c r="H241" t="s">
        <v>157</v>
      </c>
      <c r="I241" t="s">
        <v>105</v>
      </c>
      <c r="J241" t="s">
        <v>38</v>
      </c>
      <c r="K241" t="s">
        <v>18</v>
      </c>
    </row>
    <row r="242" spans="1:11">
      <c r="A242" t="s">
        <v>444</v>
      </c>
      <c r="B242" t="s">
        <v>445</v>
      </c>
      <c r="C242" t="s">
        <v>135</v>
      </c>
      <c r="D242" t="s">
        <v>29</v>
      </c>
      <c r="E242">
        <v>3999</v>
      </c>
      <c r="F242">
        <v>3</v>
      </c>
      <c r="G242">
        <v>11997</v>
      </c>
      <c r="H242" t="s">
        <v>66</v>
      </c>
      <c r="I242" t="s">
        <v>44</v>
      </c>
      <c r="J242" t="s">
        <v>32</v>
      </c>
      <c r="K242" t="s">
        <v>18</v>
      </c>
    </row>
    <row r="243" spans="1:11">
      <c r="A243" t="s">
        <v>446</v>
      </c>
      <c r="B243" t="s">
        <v>447</v>
      </c>
      <c r="C243" t="s">
        <v>70</v>
      </c>
      <c r="D243" t="s">
        <v>29</v>
      </c>
      <c r="E243">
        <v>799</v>
      </c>
      <c r="F243">
        <v>4</v>
      </c>
      <c r="G243">
        <v>3196</v>
      </c>
      <c r="H243" t="s">
        <v>89</v>
      </c>
      <c r="I243" t="s">
        <v>24</v>
      </c>
      <c r="J243" t="s">
        <v>38</v>
      </c>
      <c r="K243" t="s">
        <v>33</v>
      </c>
    </row>
    <row r="244" spans="1:11">
      <c r="A244" t="s">
        <v>448</v>
      </c>
      <c r="B244" t="s">
        <v>65</v>
      </c>
      <c r="C244" t="s">
        <v>122</v>
      </c>
      <c r="D244" t="s">
        <v>29</v>
      </c>
      <c r="E244">
        <v>1299</v>
      </c>
      <c r="F244">
        <v>4</v>
      </c>
      <c r="G244">
        <v>5196</v>
      </c>
      <c r="H244" t="s">
        <v>30</v>
      </c>
      <c r="I244" t="s">
        <v>57</v>
      </c>
      <c r="J244" t="s">
        <v>17</v>
      </c>
      <c r="K244" t="s">
        <v>45</v>
      </c>
    </row>
    <row r="245" spans="1:11">
      <c r="A245" t="s">
        <v>449</v>
      </c>
      <c r="B245" t="s">
        <v>450</v>
      </c>
      <c r="C245" t="s">
        <v>70</v>
      </c>
      <c r="D245" t="s">
        <v>29</v>
      </c>
      <c r="E245">
        <v>799</v>
      </c>
      <c r="F245">
        <v>1</v>
      </c>
      <c r="G245">
        <v>799</v>
      </c>
      <c r="H245" t="s">
        <v>56</v>
      </c>
      <c r="I245" t="s">
        <v>67</v>
      </c>
      <c r="J245" t="s">
        <v>17</v>
      </c>
      <c r="K245" t="s">
        <v>18</v>
      </c>
    </row>
    <row r="246" spans="1:11">
      <c r="A246" t="s">
        <v>451</v>
      </c>
      <c r="B246" t="s">
        <v>281</v>
      </c>
      <c r="C246" t="s">
        <v>162</v>
      </c>
      <c r="D246" t="s">
        <v>29</v>
      </c>
      <c r="E246">
        <v>1799</v>
      </c>
      <c r="F246">
        <v>3</v>
      </c>
      <c r="G246">
        <v>5397</v>
      </c>
      <c r="H246" t="s">
        <v>62</v>
      </c>
      <c r="I246" t="s">
        <v>105</v>
      </c>
      <c r="J246" t="s">
        <v>32</v>
      </c>
      <c r="K246" t="s">
        <v>45</v>
      </c>
    </row>
    <row r="247" spans="1:11">
      <c r="A247" t="s">
        <v>452</v>
      </c>
      <c r="B247" t="s">
        <v>291</v>
      </c>
      <c r="C247" t="s">
        <v>122</v>
      </c>
      <c r="D247" t="s">
        <v>29</v>
      </c>
      <c r="E247">
        <v>1299</v>
      </c>
      <c r="F247">
        <v>4</v>
      </c>
      <c r="G247">
        <v>5196</v>
      </c>
      <c r="H247" t="s">
        <v>186</v>
      </c>
      <c r="I247" t="s">
        <v>82</v>
      </c>
      <c r="J247" t="s">
        <v>17</v>
      </c>
      <c r="K247" t="s">
        <v>18</v>
      </c>
    </row>
    <row r="248" spans="1:11">
      <c r="A248" t="s">
        <v>453</v>
      </c>
      <c r="B248" t="s">
        <v>395</v>
      </c>
      <c r="C248" t="s">
        <v>101</v>
      </c>
      <c r="D248" t="s">
        <v>81</v>
      </c>
      <c r="E248">
        <v>499</v>
      </c>
      <c r="F248">
        <v>5</v>
      </c>
      <c r="G248">
        <v>2495</v>
      </c>
      <c r="H248" t="s">
        <v>186</v>
      </c>
      <c r="I248" t="s">
        <v>31</v>
      </c>
      <c r="J248" t="s">
        <v>32</v>
      </c>
      <c r="K248" t="s">
        <v>45</v>
      </c>
    </row>
    <row r="249" spans="1:11">
      <c r="A249" t="s">
        <v>454</v>
      </c>
      <c r="B249" t="s">
        <v>310</v>
      </c>
      <c r="C249" t="s">
        <v>48</v>
      </c>
      <c r="D249" t="s">
        <v>49</v>
      </c>
      <c r="E249">
        <v>699</v>
      </c>
      <c r="F249">
        <v>1</v>
      </c>
      <c r="G249">
        <v>699</v>
      </c>
      <c r="H249" t="s">
        <v>102</v>
      </c>
      <c r="I249" t="s">
        <v>16</v>
      </c>
      <c r="J249" t="s">
        <v>90</v>
      </c>
      <c r="K249" t="s">
        <v>18</v>
      </c>
    </row>
    <row r="250" spans="1:11">
      <c r="A250" t="s">
        <v>455</v>
      </c>
      <c r="B250" t="s">
        <v>20</v>
      </c>
      <c r="C250" t="s">
        <v>162</v>
      </c>
      <c r="D250" t="s">
        <v>29</v>
      </c>
      <c r="E250">
        <v>1799</v>
      </c>
      <c r="F250">
        <v>2</v>
      </c>
      <c r="G250">
        <v>3598</v>
      </c>
      <c r="H250" t="s">
        <v>23</v>
      </c>
      <c r="I250" t="s">
        <v>125</v>
      </c>
      <c r="J250" t="s">
        <v>38</v>
      </c>
      <c r="K250" t="s">
        <v>18</v>
      </c>
    </row>
    <row r="251" spans="1:11">
      <c r="A251" t="s">
        <v>456</v>
      </c>
      <c r="B251" t="s">
        <v>457</v>
      </c>
      <c r="C251" t="s">
        <v>60</v>
      </c>
      <c r="D251" t="s">
        <v>61</v>
      </c>
      <c r="E251">
        <v>899</v>
      </c>
      <c r="F251">
        <v>5</v>
      </c>
      <c r="G251">
        <v>4495</v>
      </c>
      <c r="H251" t="s">
        <v>66</v>
      </c>
      <c r="I251" t="s">
        <v>57</v>
      </c>
      <c r="J251" t="s">
        <v>25</v>
      </c>
      <c r="K251" t="s">
        <v>45</v>
      </c>
    </row>
    <row r="252" spans="1:11">
      <c r="A252" t="s">
        <v>458</v>
      </c>
      <c r="B252" t="s">
        <v>459</v>
      </c>
      <c r="C252" t="s">
        <v>76</v>
      </c>
      <c r="D252" t="s">
        <v>49</v>
      </c>
      <c r="E252">
        <v>1599</v>
      </c>
      <c r="F252">
        <v>3</v>
      </c>
      <c r="G252">
        <v>4797</v>
      </c>
      <c r="H252" t="s">
        <v>30</v>
      </c>
      <c r="I252" t="s">
        <v>105</v>
      </c>
      <c r="J252" t="s">
        <v>90</v>
      </c>
      <c r="K252" t="s">
        <v>45</v>
      </c>
    </row>
    <row r="253" spans="1:11">
      <c r="A253" t="s">
        <v>460</v>
      </c>
      <c r="B253" t="s">
        <v>55</v>
      </c>
      <c r="C253" t="s">
        <v>36</v>
      </c>
      <c r="D253" t="s">
        <v>29</v>
      </c>
      <c r="E253">
        <v>1999</v>
      </c>
      <c r="F253">
        <v>3</v>
      </c>
      <c r="G253">
        <v>5997</v>
      </c>
      <c r="H253" t="s">
        <v>62</v>
      </c>
      <c r="I253" t="s">
        <v>125</v>
      </c>
      <c r="J253" t="s">
        <v>32</v>
      </c>
      <c r="K253" t="s">
        <v>18</v>
      </c>
    </row>
    <row r="254" spans="1:11">
      <c r="A254" t="s">
        <v>461</v>
      </c>
      <c r="B254" t="s">
        <v>100</v>
      </c>
      <c r="C254" t="s">
        <v>162</v>
      </c>
      <c r="D254" t="s">
        <v>29</v>
      </c>
      <c r="E254">
        <v>1799</v>
      </c>
      <c r="F254">
        <v>3</v>
      </c>
      <c r="G254">
        <v>5397</v>
      </c>
      <c r="H254" t="s">
        <v>23</v>
      </c>
      <c r="I254" t="s">
        <v>77</v>
      </c>
      <c r="J254" t="s">
        <v>17</v>
      </c>
      <c r="K254" t="s">
        <v>18</v>
      </c>
    </row>
    <row r="255" spans="1:11">
      <c r="A255" t="s">
        <v>462</v>
      </c>
      <c r="B255" t="s">
        <v>219</v>
      </c>
      <c r="C255" t="s">
        <v>135</v>
      </c>
      <c r="D255" t="s">
        <v>29</v>
      </c>
      <c r="E255">
        <v>3999</v>
      </c>
      <c r="F255">
        <v>2</v>
      </c>
      <c r="G255">
        <v>7998</v>
      </c>
      <c r="H255" t="s">
        <v>186</v>
      </c>
      <c r="I255" t="s">
        <v>77</v>
      </c>
      <c r="J255" t="s">
        <v>38</v>
      </c>
      <c r="K255" t="s">
        <v>18</v>
      </c>
    </row>
    <row r="256" spans="1:11">
      <c r="A256" t="s">
        <v>463</v>
      </c>
      <c r="B256" t="s">
        <v>35</v>
      </c>
      <c r="C256" t="s">
        <v>76</v>
      </c>
      <c r="D256" t="s">
        <v>49</v>
      </c>
      <c r="E256">
        <v>1599</v>
      </c>
      <c r="F256">
        <v>5</v>
      </c>
      <c r="G256">
        <v>7995</v>
      </c>
      <c r="H256" t="s">
        <v>102</v>
      </c>
      <c r="I256" t="s">
        <v>67</v>
      </c>
      <c r="J256" t="s">
        <v>38</v>
      </c>
      <c r="K256" t="s">
        <v>45</v>
      </c>
    </row>
    <row r="257" spans="1:11">
      <c r="A257" t="s">
        <v>464</v>
      </c>
      <c r="B257" t="s">
        <v>343</v>
      </c>
      <c r="C257" t="s">
        <v>21</v>
      </c>
      <c r="D257" t="s">
        <v>22</v>
      </c>
      <c r="E257">
        <v>1499</v>
      </c>
      <c r="F257">
        <v>2</v>
      </c>
      <c r="G257">
        <v>2998</v>
      </c>
      <c r="H257" t="s">
        <v>71</v>
      </c>
      <c r="I257" t="s">
        <v>31</v>
      </c>
      <c r="J257" t="s">
        <v>25</v>
      </c>
      <c r="K257" t="s">
        <v>18</v>
      </c>
    </row>
    <row r="258" spans="1:11">
      <c r="A258" t="s">
        <v>465</v>
      </c>
      <c r="B258" t="s">
        <v>118</v>
      </c>
      <c r="C258" t="s">
        <v>36</v>
      </c>
      <c r="D258" t="s">
        <v>29</v>
      </c>
      <c r="E258">
        <v>1999</v>
      </c>
      <c r="F258">
        <v>2</v>
      </c>
      <c r="G258">
        <v>3998</v>
      </c>
      <c r="H258" t="s">
        <v>37</v>
      </c>
      <c r="I258" t="s">
        <v>77</v>
      </c>
      <c r="J258" t="s">
        <v>32</v>
      </c>
      <c r="K258" t="s">
        <v>18</v>
      </c>
    </row>
    <row r="259" spans="1:11">
      <c r="A259" t="s">
        <v>466</v>
      </c>
      <c r="B259" t="s">
        <v>365</v>
      </c>
      <c r="C259" t="s">
        <v>76</v>
      </c>
      <c r="D259" t="s">
        <v>49</v>
      </c>
      <c r="E259">
        <v>1599</v>
      </c>
      <c r="F259">
        <v>3</v>
      </c>
      <c r="G259">
        <v>4797</v>
      </c>
      <c r="H259" t="s">
        <v>56</v>
      </c>
      <c r="I259" t="s">
        <v>67</v>
      </c>
      <c r="J259" t="s">
        <v>90</v>
      </c>
      <c r="K259" t="s">
        <v>45</v>
      </c>
    </row>
    <row r="260" spans="1:11">
      <c r="A260" t="s">
        <v>467</v>
      </c>
      <c r="B260" t="s">
        <v>145</v>
      </c>
      <c r="C260" t="s">
        <v>13</v>
      </c>
      <c r="D260" t="s">
        <v>14</v>
      </c>
      <c r="E260">
        <v>2499</v>
      </c>
      <c r="F260">
        <v>4</v>
      </c>
      <c r="G260">
        <v>9996</v>
      </c>
      <c r="H260" t="s">
        <v>30</v>
      </c>
      <c r="I260" t="s">
        <v>125</v>
      </c>
      <c r="J260" t="s">
        <v>32</v>
      </c>
      <c r="K260" t="s">
        <v>18</v>
      </c>
    </row>
    <row r="261" spans="1:11">
      <c r="A261" t="s">
        <v>468</v>
      </c>
      <c r="B261" t="s">
        <v>20</v>
      </c>
      <c r="C261" t="s">
        <v>13</v>
      </c>
      <c r="D261" t="s">
        <v>14</v>
      </c>
      <c r="E261">
        <v>2499</v>
      </c>
      <c r="F261">
        <v>3</v>
      </c>
      <c r="G261">
        <v>7497</v>
      </c>
      <c r="H261" t="s">
        <v>37</v>
      </c>
      <c r="I261" t="s">
        <v>105</v>
      </c>
      <c r="J261" t="s">
        <v>32</v>
      </c>
      <c r="K261" t="s">
        <v>45</v>
      </c>
    </row>
    <row r="262" spans="1:11">
      <c r="A262" t="s">
        <v>469</v>
      </c>
      <c r="B262" t="s">
        <v>137</v>
      </c>
      <c r="C262" t="s">
        <v>60</v>
      </c>
      <c r="D262" t="s">
        <v>61</v>
      </c>
      <c r="E262">
        <v>899</v>
      </c>
      <c r="F262">
        <v>3</v>
      </c>
      <c r="G262">
        <v>2697</v>
      </c>
      <c r="H262" t="s">
        <v>89</v>
      </c>
      <c r="I262" t="s">
        <v>125</v>
      </c>
      <c r="J262" t="s">
        <v>90</v>
      </c>
      <c r="K262" t="s">
        <v>18</v>
      </c>
    </row>
    <row r="263" spans="1:11">
      <c r="A263" t="s">
        <v>470</v>
      </c>
      <c r="B263" t="s">
        <v>109</v>
      </c>
      <c r="C263" t="s">
        <v>60</v>
      </c>
      <c r="D263" t="s">
        <v>61</v>
      </c>
      <c r="E263">
        <v>899</v>
      </c>
      <c r="F263">
        <v>1</v>
      </c>
      <c r="G263">
        <v>899</v>
      </c>
      <c r="H263" t="s">
        <v>62</v>
      </c>
      <c r="I263" t="s">
        <v>31</v>
      </c>
      <c r="J263" t="s">
        <v>38</v>
      </c>
      <c r="K263" t="s">
        <v>18</v>
      </c>
    </row>
    <row r="264" spans="1:11">
      <c r="A264" t="s">
        <v>471</v>
      </c>
      <c r="B264" t="s">
        <v>472</v>
      </c>
      <c r="C264" t="s">
        <v>76</v>
      </c>
      <c r="D264" t="s">
        <v>49</v>
      </c>
      <c r="E264">
        <v>1599</v>
      </c>
      <c r="F264">
        <v>5</v>
      </c>
      <c r="G264">
        <v>7995</v>
      </c>
      <c r="H264" t="s">
        <v>95</v>
      </c>
      <c r="I264" t="s">
        <v>63</v>
      </c>
      <c r="J264" t="s">
        <v>32</v>
      </c>
      <c r="K264" t="s">
        <v>45</v>
      </c>
    </row>
    <row r="265" spans="1:11">
      <c r="A265" t="s">
        <v>473</v>
      </c>
      <c r="B265" t="s">
        <v>474</v>
      </c>
      <c r="C265" t="s">
        <v>162</v>
      </c>
      <c r="D265" t="s">
        <v>29</v>
      </c>
      <c r="E265">
        <v>1799</v>
      </c>
      <c r="F265">
        <v>1</v>
      </c>
      <c r="G265">
        <v>1799</v>
      </c>
      <c r="H265" t="s">
        <v>157</v>
      </c>
      <c r="I265" t="s">
        <v>98</v>
      </c>
      <c r="J265" t="s">
        <v>90</v>
      </c>
      <c r="K265" t="s">
        <v>45</v>
      </c>
    </row>
    <row r="266" spans="1:11">
      <c r="A266" t="s">
        <v>475</v>
      </c>
      <c r="B266" t="s">
        <v>434</v>
      </c>
      <c r="C266" t="s">
        <v>36</v>
      </c>
      <c r="D266" t="s">
        <v>29</v>
      </c>
      <c r="E266">
        <v>1999</v>
      </c>
      <c r="F266">
        <v>2</v>
      </c>
      <c r="G266">
        <v>3998</v>
      </c>
      <c r="H266" t="s">
        <v>23</v>
      </c>
      <c r="I266" t="s">
        <v>82</v>
      </c>
      <c r="J266" t="s">
        <v>17</v>
      </c>
      <c r="K266" t="s">
        <v>18</v>
      </c>
    </row>
    <row r="267" spans="1:11">
      <c r="A267" t="s">
        <v>476</v>
      </c>
      <c r="B267" t="s">
        <v>167</v>
      </c>
      <c r="C267" t="s">
        <v>52</v>
      </c>
      <c r="D267" t="s">
        <v>53</v>
      </c>
      <c r="E267">
        <v>199</v>
      </c>
      <c r="F267">
        <v>4</v>
      </c>
      <c r="G267">
        <v>796</v>
      </c>
      <c r="H267" t="s">
        <v>15</v>
      </c>
      <c r="I267" t="s">
        <v>57</v>
      </c>
      <c r="J267" t="s">
        <v>17</v>
      </c>
      <c r="K267" t="s">
        <v>18</v>
      </c>
    </row>
    <row r="268" spans="1:11">
      <c r="A268" t="s">
        <v>477</v>
      </c>
      <c r="B268" t="s">
        <v>59</v>
      </c>
      <c r="C268" t="s">
        <v>28</v>
      </c>
      <c r="D268" t="s">
        <v>29</v>
      </c>
      <c r="E268">
        <v>1299</v>
      </c>
      <c r="F268">
        <v>4</v>
      </c>
      <c r="G268">
        <v>5196</v>
      </c>
      <c r="H268" t="s">
        <v>62</v>
      </c>
      <c r="I268" t="s">
        <v>105</v>
      </c>
      <c r="J268" t="s">
        <v>25</v>
      </c>
      <c r="K268" t="s">
        <v>18</v>
      </c>
    </row>
    <row r="269" spans="1:11">
      <c r="A269" t="s">
        <v>478</v>
      </c>
      <c r="B269" t="s">
        <v>40</v>
      </c>
      <c r="C269" t="s">
        <v>52</v>
      </c>
      <c r="D269" t="s">
        <v>53</v>
      </c>
      <c r="E269">
        <v>199</v>
      </c>
      <c r="F269">
        <v>5</v>
      </c>
      <c r="G269">
        <v>995</v>
      </c>
      <c r="H269" t="s">
        <v>37</v>
      </c>
      <c r="I269" t="s">
        <v>16</v>
      </c>
      <c r="J269" t="s">
        <v>25</v>
      </c>
      <c r="K269" t="s">
        <v>18</v>
      </c>
    </row>
    <row r="270" spans="1:11">
      <c r="A270" t="s">
        <v>479</v>
      </c>
      <c r="B270" t="s">
        <v>215</v>
      </c>
      <c r="C270" t="s">
        <v>80</v>
      </c>
      <c r="D270" t="s">
        <v>81</v>
      </c>
      <c r="E270">
        <v>299</v>
      </c>
      <c r="F270">
        <v>3</v>
      </c>
      <c r="G270">
        <v>897</v>
      </c>
      <c r="H270" t="s">
        <v>23</v>
      </c>
      <c r="I270" t="s">
        <v>57</v>
      </c>
      <c r="J270" t="s">
        <v>32</v>
      </c>
      <c r="K270" t="s">
        <v>18</v>
      </c>
    </row>
    <row r="271" spans="1:11">
      <c r="A271" t="s">
        <v>480</v>
      </c>
      <c r="B271" t="s">
        <v>241</v>
      </c>
      <c r="C271" t="s">
        <v>60</v>
      </c>
      <c r="D271" t="s">
        <v>61</v>
      </c>
      <c r="E271">
        <v>899</v>
      </c>
      <c r="F271">
        <v>1</v>
      </c>
      <c r="G271">
        <v>899</v>
      </c>
      <c r="H271" t="s">
        <v>37</v>
      </c>
      <c r="I271" t="s">
        <v>77</v>
      </c>
      <c r="J271" t="s">
        <v>25</v>
      </c>
      <c r="K271" t="s">
        <v>33</v>
      </c>
    </row>
    <row r="272" spans="1:11">
      <c r="A272" t="s">
        <v>481</v>
      </c>
      <c r="B272" t="s">
        <v>109</v>
      </c>
      <c r="C272" t="s">
        <v>48</v>
      </c>
      <c r="D272" t="s">
        <v>49</v>
      </c>
      <c r="E272">
        <v>699</v>
      </c>
      <c r="F272">
        <v>5</v>
      </c>
      <c r="G272">
        <v>3495</v>
      </c>
      <c r="H272" t="s">
        <v>66</v>
      </c>
      <c r="I272" t="s">
        <v>67</v>
      </c>
      <c r="J272" t="s">
        <v>38</v>
      </c>
      <c r="K272" t="s">
        <v>18</v>
      </c>
    </row>
    <row r="273" spans="1:11">
      <c r="A273" t="s">
        <v>482</v>
      </c>
      <c r="B273" t="s">
        <v>272</v>
      </c>
      <c r="C273" t="s">
        <v>80</v>
      </c>
      <c r="D273" t="s">
        <v>81</v>
      </c>
      <c r="E273">
        <v>299</v>
      </c>
      <c r="F273">
        <v>3</v>
      </c>
      <c r="G273">
        <v>897</v>
      </c>
      <c r="H273" t="s">
        <v>37</v>
      </c>
      <c r="I273" t="s">
        <v>77</v>
      </c>
      <c r="J273" t="s">
        <v>38</v>
      </c>
      <c r="K273" t="s">
        <v>45</v>
      </c>
    </row>
    <row r="274" spans="1:11">
      <c r="A274" t="s">
        <v>483</v>
      </c>
      <c r="B274" t="s">
        <v>356</v>
      </c>
      <c r="C274" t="s">
        <v>135</v>
      </c>
      <c r="D274" t="s">
        <v>29</v>
      </c>
      <c r="E274">
        <v>3999</v>
      </c>
      <c r="F274">
        <v>1</v>
      </c>
      <c r="G274">
        <v>3999</v>
      </c>
      <c r="H274" t="s">
        <v>186</v>
      </c>
      <c r="I274" t="s">
        <v>57</v>
      </c>
      <c r="J274" t="s">
        <v>25</v>
      </c>
      <c r="K274" t="s">
        <v>45</v>
      </c>
    </row>
    <row r="275" spans="1:11">
      <c r="A275" t="s">
        <v>484</v>
      </c>
      <c r="B275" t="s">
        <v>485</v>
      </c>
      <c r="C275" t="s">
        <v>76</v>
      </c>
      <c r="D275" t="s">
        <v>49</v>
      </c>
      <c r="E275">
        <v>1599</v>
      </c>
      <c r="F275">
        <v>5</v>
      </c>
      <c r="G275">
        <v>7995</v>
      </c>
      <c r="H275" t="s">
        <v>71</v>
      </c>
      <c r="I275" t="s">
        <v>57</v>
      </c>
      <c r="J275" t="s">
        <v>25</v>
      </c>
      <c r="K275" t="s">
        <v>33</v>
      </c>
    </row>
    <row r="276" spans="1:11">
      <c r="A276" t="s">
        <v>486</v>
      </c>
      <c r="B276" t="s">
        <v>487</v>
      </c>
      <c r="C276" t="s">
        <v>76</v>
      </c>
      <c r="D276" t="s">
        <v>49</v>
      </c>
      <c r="E276">
        <v>1599</v>
      </c>
      <c r="F276">
        <v>4</v>
      </c>
      <c r="G276">
        <v>6396</v>
      </c>
      <c r="H276" t="s">
        <v>89</v>
      </c>
      <c r="I276" t="s">
        <v>57</v>
      </c>
      <c r="J276" t="s">
        <v>38</v>
      </c>
      <c r="K276" t="s">
        <v>33</v>
      </c>
    </row>
    <row r="277" spans="1:11">
      <c r="A277" t="s">
        <v>488</v>
      </c>
      <c r="B277" t="s">
        <v>97</v>
      </c>
      <c r="C277" t="s">
        <v>162</v>
      </c>
      <c r="D277" t="s">
        <v>29</v>
      </c>
      <c r="E277">
        <v>1799</v>
      </c>
      <c r="F277">
        <v>5</v>
      </c>
      <c r="G277">
        <v>8995</v>
      </c>
      <c r="H277" t="s">
        <v>95</v>
      </c>
      <c r="I277" t="s">
        <v>105</v>
      </c>
      <c r="J277" t="s">
        <v>90</v>
      </c>
      <c r="K277" t="s">
        <v>45</v>
      </c>
    </row>
    <row r="278" spans="1:11">
      <c r="A278" t="s">
        <v>489</v>
      </c>
      <c r="B278" t="s">
        <v>20</v>
      </c>
      <c r="C278" t="s">
        <v>36</v>
      </c>
      <c r="D278" t="s">
        <v>29</v>
      </c>
      <c r="E278">
        <v>1999</v>
      </c>
      <c r="F278">
        <v>1</v>
      </c>
      <c r="G278">
        <v>1999</v>
      </c>
      <c r="H278" t="s">
        <v>37</v>
      </c>
      <c r="I278" t="s">
        <v>105</v>
      </c>
      <c r="J278" t="s">
        <v>38</v>
      </c>
      <c r="K278" t="s">
        <v>18</v>
      </c>
    </row>
    <row r="279" spans="1:11">
      <c r="A279" t="s">
        <v>490</v>
      </c>
      <c r="B279" t="s">
        <v>175</v>
      </c>
      <c r="C279" t="s">
        <v>28</v>
      </c>
      <c r="D279" t="s">
        <v>29</v>
      </c>
      <c r="E279">
        <v>1299</v>
      </c>
      <c r="F279">
        <v>2</v>
      </c>
      <c r="G279">
        <v>2598</v>
      </c>
      <c r="H279" t="s">
        <v>186</v>
      </c>
      <c r="I279" t="s">
        <v>105</v>
      </c>
      <c r="J279" t="s">
        <v>38</v>
      </c>
      <c r="K279" t="s">
        <v>18</v>
      </c>
    </row>
    <row r="280" spans="1:11">
      <c r="A280" t="s">
        <v>491</v>
      </c>
      <c r="B280" t="s">
        <v>347</v>
      </c>
      <c r="C280" t="s">
        <v>52</v>
      </c>
      <c r="D280" t="s">
        <v>53</v>
      </c>
      <c r="E280">
        <v>199</v>
      </c>
      <c r="F280">
        <v>2</v>
      </c>
      <c r="G280">
        <v>398</v>
      </c>
      <c r="H280" t="s">
        <v>71</v>
      </c>
      <c r="I280" t="s">
        <v>31</v>
      </c>
      <c r="J280" t="s">
        <v>32</v>
      </c>
      <c r="K280" t="s">
        <v>45</v>
      </c>
    </row>
    <row r="281" spans="1:11">
      <c r="A281" t="s">
        <v>492</v>
      </c>
      <c r="B281" t="s">
        <v>415</v>
      </c>
      <c r="C281" t="s">
        <v>48</v>
      </c>
      <c r="D281" t="s">
        <v>49</v>
      </c>
      <c r="E281">
        <v>699</v>
      </c>
      <c r="F281">
        <v>2</v>
      </c>
      <c r="G281">
        <v>1398</v>
      </c>
      <c r="H281" t="s">
        <v>71</v>
      </c>
      <c r="I281" t="s">
        <v>125</v>
      </c>
      <c r="J281" t="s">
        <v>25</v>
      </c>
      <c r="K281" t="s">
        <v>18</v>
      </c>
    </row>
    <row r="282" spans="1:11">
      <c r="A282" t="s">
        <v>493</v>
      </c>
      <c r="B282" t="s">
        <v>494</v>
      </c>
      <c r="C282" t="s">
        <v>162</v>
      </c>
      <c r="D282" t="s">
        <v>29</v>
      </c>
      <c r="E282">
        <v>1799</v>
      </c>
      <c r="F282">
        <v>5</v>
      </c>
      <c r="G282">
        <v>8995</v>
      </c>
      <c r="H282" t="s">
        <v>89</v>
      </c>
      <c r="I282" t="s">
        <v>24</v>
      </c>
      <c r="J282" t="s">
        <v>17</v>
      </c>
      <c r="K282" t="s">
        <v>18</v>
      </c>
    </row>
    <row r="283" spans="1:11">
      <c r="A283" t="s">
        <v>495</v>
      </c>
      <c r="B283" t="s">
        <v>335</v>
      </c>
      <c r="C283" t="s">
        <v>28</v>
      </c>
      <c r="D283" t="s">
        <v>29</v>
      </c>
      <c r="E283">
        <v>1299</v>
      </c>
      <c r="F283">
        <v>1</v>
      </c>
      <c r="G283">
        <v>1299</v>
      </c>
      <c r="H283" t="s">
        <v>43</v>
      </c>
      <c r="I283" t="s">
        <v>24</v>
      </c>
      <c r="J283" t="s">
        <v>17</v>
      </c>
      <c r="K283" t="s">
        <v>18</v>
      </c>
    </row>
    <row r="284" spans="1:11">
      <c r="A284" t="s">
        <v>496</v>
      </c>
      <c r="B284" t="s">
        <v>255</v>
      </c>
      <c r="C284" t="s">
        <v>162</v>
      </c>
      <c r="D284" t="s">
        <v>29</v>
      </c>
      <c r="E284">
        <v>1799</v>
      </c>
      <c r="F284">
        <v>2</v>
      </c>
      <c r="G284">
        <v>3598</v>
      </c>
      <c r="H284" t="s">
        <v>15</v>
      </c>
      <c r="I284" t="s">
        <v>44</v>
      </c>
      <c r="J284" t="s">
        <v>32</v>
      </c>
      <c r="K284" t="s">
        <v>33</v>
      </c>
    </row>
    <row r="285" spans="1:11">
      <c r="A285" t="s">
        <v>497</v>
      </c>
      <c r="B285" t="s">
        <v>55</v>
      </c>
      <c r="C285" t="s">
        <v>28</v>
      </c>
      <c r="D285" t="s">
        <v>29</v>
      </c>
      <c r="E285">
        <v>1299</v>
      </c>
      <c r="F285">
        <v>1</v>
      </c>
      <c r="G285">
        <v>1299</v>
      </c>
      <c r="H285" t="s">
        <v>37</v>
      </c>
      <c r="I285" t="s">
        <v>67</v>
      </c>
      <c r="J285" t="s">
        <v>32</v>
      </c>
      <c r="K285" t="s">
        <v>18</v>
      </c>
    </row>
    <row r="286" spans="1:11">
      <c r="A286" t="s">
        <v>498</v>
      </c>
      <c r="B286" t="s">
        <v>143</v>
      </c>
      <c r="C286" t="s">
        <v>36</v>
      </c>
      <c r="D286" t="s">
        <v>29</v>
      </c>
      <c r="E286">
        <v>1999</v>
      </c>
      <c r="F286">
        <v>5</v>
      </c>
      <c r="G286">
        <v>9995</v>
      </c>
      <c r="H286" t="s">
        <v>71</v>
      </c>
      <c r="I286" t="s">
        <v>105</v>
      </c>
      <c r="J286" t="s">
        <v>38</v>
      </c>
      <c r="K286" t="s">
        <v>18</v>
      </c>
    </row>
    <row r="287" spans="1:11">
      <c r="A287" t="s">
        <v>499</v>
      </c>
      <c r="B287" t="s">
        <v>269</v>
      </c>
      <c r="C287" t="s">
        <v>60</v>
      </c>
      <c r="D287" t="s">
        <v>61</v>
      </c>
      <c r="E287">
        <v>899</v>
      </c>
      <c r="F287">
        <v>5</v>
      </c>
      <c r="G287">
        <v>4495</v>
      </c>
      <c r="H287" t="s">
        <v>23</v>
      </c>
      <c r="I287" t="s">
        <v>24</v>
      </c>
      <c r="J287" t="s">
        <v>32</v>
      </c>
      <c r="K287" t="s">
        <v>18</v>
      </c>
    </row>
    <row r="288" spans="1:11">
      <c r="A288" t="s">
        <v>500</v>
      </c>
      <c r="B288" t="s">
        <v>116</v>
      </c>
      <c r="C288" t="s">
        <v>60</v>
      </c>
      <c r="D288" t="s">
        <v>61</v>
      </c>
      <c r="E288">
        <v>899</v>
      </c>
      <c r="F288">
        <v>1</v>
      </c>
      <c r="G288">
        <v>899</v>
      </c>
      <c r="H288" t="s">
        <v>71</v>
      </c>
      <c r="I288" t="s">
        <v>77</v>
      </c>
      <c r="J288" t="s">
        <v>38</v>
      </c>
      <c r="K288" t="s">
        <v>18</v>
      </c>
    </row>
    <row r="289" spans="1:11">
      <c r="A289" t="s">
        <v>501</v>
      </c>
      <c r="B289" t="s">
        <v>502</v>
      </c>
      <c r="C289" t="s">
        <v>101</v>
      </c>
      <c r="D289" t="s">
        <v>81</v>
      </c>
      <c r="E289">
        <v>499</v>
      </c>
      <c r="F289">
        <v>3</v>
      </c>
      <c r="G289">
        <v>1497</v>
      </c>
      <c r="H289" t="s">
        <v>71</v>
      </c>
      <c r="I289" t="s">
        <v>98</v>
      </c>
      <c r="J289" t="s">
        <v>38</v>
      </c>
      <c r="K289" t="s">
        <v>18</v>
      </c>
    </row>
    <row r="290" spans="1:11">
      <c r="A290" t="s">
        <v>503</v>
      </c>
      <c r="B290" t="s">
        <v>338</v>
      </c>
      <c r="C290" t="s">
        <v>135</v>
      </c>
      <c r="D290" t="s">
        <v>29</v>
      </c>
      <c r="E290">
        <v>3999</v>
      </c>
      <c r="F290">
        <v>4</v>
      </c>
      <c r="G290">
        <v>15996</v>
      </c>
      <c r="H290" t="s">
        <v>43</v>
      </c>
      <c r="I290" t="s">
        <v>82</v>
      </c>
      <c r="J290" t="s">
        <v>25</v>
      </c>
      <c r="K290" t="s">
        <v>18</v>
      </c>
    </row>
    <row r="291" spans="1:11">
      <c r="A291" t="s">
        <v>504</v>
      </c>
      <c r="B291" t="s">
        <v>450</v>
      </c>
      <c r="C291" t="s">
        <v>60</v>
      </c>
      <c r="D291" t="s">
        <v>61</v>
      </c>
      <c r="E291">
        <v>899</v>
      </c>
      <c r="F291">
        <v>2</v>
      </c>
      <c r="G291">
        <v>1798</v>
      </c>
      <c r="H291" t="s">
        <v>71</v>
      </c>
      <c r="I291" t="s">
        <v>67</v>
      </c>
      <c r="J291" t="s">
        <v>25</v>
      </c>
      <c r="K291" t="s">
        <v>18</v>
      </c>
    </row>
    <row r="292" spans="1:11">
      <c r="A292" t="s">
        <v>505</v>
      </c>
      <c r="B292" t="s">
        <v>35</v>
      </c>
      <c r="C292" t="s">
        <v>101</v>
      </c>
      <c r="D292" t="s">
        <v>81</v>
      </c>
      <c r="E292">
        <v>499</v>
      </c>
      <c r="F292">
        <v>2</v>
      </c>
      <c r="G292">
        <v>998</v>
      </c>
      <c r="H292" t="s">
        <v>15</v>
      </c>
      <c r="I292" t="s">
        <v>105</v>
      </c>
      <c r="J292" t="s">
        <v>25</v>
      </c>
      <c r="K292" t="s">
        <v>33</v>
      </c>
    </row>
    <row r="293" spans="1:11">
      <c r="A293" t="s">
        <v>506</v>
      </c>
      <c r="B293" t="s">
        <v>329</v>
      </c>
      <c r="C293" t="s">
        <v>13</v>
      </c>
      <c r="D293" t="s">
        <v>14</v>
      </c>
      <c r="E293">
        <v>2499</v>
      </c>
      <c r="F293">
        <v>3</v>
      </c>
      <c r="G293">
        <v>7497</v>
      </c>
      <c r="H293" t="s">
        <v>102</v>
      </c>
      <c r="I293" t="s">
        <v>82</v>
      </c>
      <c r="J293" t="s">
        <v>32</v>
      </c>
      <c r="K293" t="s">
        <v>18</v>
      </c>
    </row>
    <row r="294" spans="1:11">
      <c r="A294" t="s">
        <v>507</v>
      </c>
      <c r="B294" t="s">
        <v>508</v>
      </c>
      <c r="C294" t="s">
        <v>60</v>
      </c>
      <c r="D294" t="s">
        <v>61</v>
      </c>
      <c r="E294">
        <v>899</v>
      </c>
      <c r="F294">
        <v>2</v>
      </c>
      <c r="G294">
        <v>1798</v>
      </c>
      <c r="H294" t="s">
        <v>157</v>
      </c>
      <c r="I294" t="s">
        <v>44</v>
      </c>
      <c r="J294" t="s">
        <v>90</v>
      </c>
      <c r="K294" t="s">
        <v>45</v>
      </c>
    </row>
    <row r="295" spans="1:11">
      <c r="A295" t="s">
        <v>509</v>
      </c>
      <c r="B295" t="s">
        <v>510</v>
      </c>
      <c r="C295" t="s">
        <v>76</v>
      </c>
      <c r="D295" t="s">
        <v>49</v>
      </c>
      <c r="E295">
        <v>1599</v>
      </c>
      <c r="F295">
        <v>5</v>
      </c>
      <c r="G295">
        <v>7995</v>
      </c>
      <c r="H295" t="s">
        <v>157</v>
      </c>
      <c r="I295" t="s">
        <v>82</v>
      </c>
      <c r="J295" t="s">
        <v>38</v>
      </c>
      <c r="K295" t="s">
        <v>18</v>
      </c>
    </row>
    <row r="296" spans="1:11">
      <c r="A296" t="s">
        <v>511</v>
      </c>
      <c r="B296" t="s">
        <v>512</v>
      </c>
      <c r="C296" t="s">
        <v>48</v>
      </c>
      <c r="D296" t="s">
        <v>49</v>
      </c>
      <c r="E296">
        <v>699</v>
      </c>
      <c r="F296">
        <v>4</v>
      </c>
      <c r="G296">
        <v>2796</v>
      </c>
      <c r="H296" t="s">
        <v>119</v>
      </c>
      <c r="I296" t="s">
        <v>77</v>
      </c>
      <c r="J296" t="s">
        <v>32</v>
      </c>
      <c r="K296" t="s">
        <v>18</v>
      </c>
    </row>
    <row r="297" spans="1:11">
      <c r="A297" t="s">
        <v>513</v>
      </c>
      <c r="B297" t="s">
        <v>474</v>
      </c>
      <c r="C297" t="s">
        <v>80</v>
      </c>
      <c r="D297" t="s">
        <v>81</v>
      </c>
      <c r="E297">
        <v>299</v>
      </c>
      <c r="F297">
        <v>5</v>
      </c>
      <c r="G297">
        <v>1495</v>
      </c>
      <c r="H297" t="s">
        <v>157</v>
      </c>
      <c r="I297" t="s">
        <v>31</v>
      </c>
      <c r="J297" t="s">
        <v>90</v>
      </c>
      <c r="K297" t="s">
        <v>45</v>
      </c>
    </row>
    <row r="298" spans="1:11">
      <c r="A298" t="s">
        <v>514</v>
      </c>
      <c r="B298" t="s">
        <v>177</v>
      </c>
      <c r="C298" t="s">
        <v>87</v>
      </c>
      <c r="D298" t="s">
        <v>88</v>
      </c>
      <c r="E298">
        <v>5499</v>
      </c>
      <c r="F298">
        <v>4</v>
      </c>
      <c r="G298">
        <v>21996</v>
      </c>
      <c r="H298" t="s">
        <v>43</v>
      </c>
      <c r="I298" t="s">
        <v>31</v>
      </c>
      <c r="J298" t="s">
        <v>32</v>
      </c>
      <c r="K298" t="s">
        <v>33</v>
      </c>
    </row>
    <row r="299" spans="1:11">
      <c r="A299" t="s">
        <v>515</v>
      </c>
      <c r="B299" t="s">
        <v>459</v>
      </c>
      <c r="C299" t="s">
        <v>162</v>
      </c>
      <c r="D299" t="s">
        <v>29</v>
      </c>
      <c r="E299">
        <v>1799</v>
      </c>
      <c r="F299">
        <v>4</v>
      </c>
      <c r="G299">
        <v>7196</v>
      </c>
      <c r="H299" t="s">
        <v>56</v>
      </c>
      <c r="I299" t="s">
        <v>16</v>
      </c>
      <c r="J299" t="s">
        <v>90</v>
      </c>
      <c r="K299" t="s">
        <v>18</v>
      </c>
    </row>
    <row r="300" spans="1:11">
      <c r="A300" t="s">
        <v>516</v>
      </c>
      <c r="B300" t="s">
        <v>517</v>
      </c>
      <c r="C300" t="s">
        <v>101</v>
      </c>
      <c r="D300" t="s">
        <v>81</v>
      </c>
      <c r="E300">
        <v>499</v>
      </c>
      <c r="F300">
        <v>1</v>
      </c>
      <c r="G300">
        <v>499</v>
      </c>
      <c r="H300" t="s">
        <v>186</v>
      </c>
      <c r="I300" t="s">
        <v>44</v>
      </c>
      <c r="J300" t="s">
        <v>38</v>
      </c>
      <c r="K300" t="s">
        <v>33</v>
      </c>
    </row>
    <row r="301" spans="1:11">
      <c r="A301" t="s">
        <v>518</v>
      </c>
      <c r="B301" t="s">
        <v>389</v>
      </c>
      <c r="C301" t="s">
        <v>13</v>
      </c>
      <c r="D301" t="s">
        <v>14</v>
      </c>
      <c r="E301">
        <v>2499</v>
      </c>
      <c r="F301">
        <v>3</v>
      </c>
      <c r="G301">
        <v>7497</v>
      </c>
      <c r="H301" t="s">
        <v>43</v>
      </c>
      <c r="I301" t="s">
        <v>98</v>
      </c>
      <c r="J301" t="s">
        <v>25</v>
      </c>
      <c r="K301" t="s">
        <v>45</v>
      </c>
    </row>
    <row r="302" spans="1:11">
      <c r="A302" t="s">
        <v>519</v>
      </c>
      <c r="B302" t="s">
        <v>387</v>
      </c>
      <c r="C302" t="s">
        <v>135</v>
      </c>
      <c r="D302" t="s">
        <v>29</v>
      </c>
      <c r="E302">
        <v>3999</v>
      </c>
      <c r="F302">
        <v>2</v>
      </c>
      <c r="G302">
        <v>7998</v>
      </c>
      <c r="H302" t="s">
        <v>43</v>
      </c>
      <c r="I302" t="s">
        <v>67</v>
      </c>
      <c r="J302" t="s">
        <v>25</v>
      </c>
      <c r="K302" t="s">
        <v>45</v>
      </c>
    </row>
    <row r="303" spans="1:11">
      <c r="A303" t="s">
        <v>520</v>
      </c>
      <c r="B303" t="s">
        <v>156</v>
      </c>
      <c r="C303" t="s">
        <v>13</v>
      </c>
      <c r="D303" t="s">
        <v>14</v>
      </c>
      <c r="E303">
        <v>2499</v>
      </c>
      <c r="F303">
        <v>5</v>
      </c>
      <c r="G303">
        <v>12495</v>
      </c>
      <c r="H303" t="s">
        <v>157</v>
      </c>
      <c r="I303" t="s">
        <v>57</v>
      </c>
      <c r="J303" t="s">
        <v>25</v>
      </c>
      <c r="K303" t="s">
        <v>45</v>
      </c>
    </row>
    <row r="304" spans="1:11">
      <c r="A304" t="s">
        <v>521</v>
      </c>
      <c r="B304" t="s">
        <v>276</v>
      </c>
      <c r="C304" t="s">
        <v>48</v>
      </c>
      <c r="D304" t="s">
        <v>49</v>
      </c>
      <c r="E304">
        <v>699</v>
      </c>
      <c r="F304">
        <v>1</v>
      </c>
      <c r="G304">
        <v>699</v>
      </c>
      <c r="H304" t="s">
        <v>89</v>
      </c>
      <c r="I304" t="s">
        <v>82</v>
      </c>
      <c r="J304" t="s">
        <v>38</v>
      </c>
      <c r="K304" t="s">
        <v>18</v>
      </c>
    </row>
    <row r="305" spans="1:11">
      <c r="A305" t="s">
        <v>522</v>
      </c>
      <c r="B305" t="s">
        <v>210</v>
      </c>
      <c r="C305" t="s">
        <v>60</v>
      </c>
      <c r="D305" t="s">
        <v>61</v>
      </c>
      <c r="E305">
        <v>899</v>
      </c>
      <c r="F305">
        <v>1</v>
      </c>
      <c r="G305">
        <v>899</v>
      </c>
      <c r="H305" t="s">
        <v>43</v>
      </c>
      <c r="I305" t="s">
        <v>98</v>
      </c>
      <c r="J305" t="s">
        <v>38</v>
      </c>
      <c r="K305" t="s">
        <v>18</v>
      </c>
    </row>
    <row r="306" spans="1:11">
      <c r="A306" t="s">
        <v>523</v>
      </c>
      <c r="B306" t="s">
        <v>169</v>
      </c>
      <c r="C306" t="s">
        <v>48</v>
      </c>
      <c r="D306" t="s">
        <v>49</v>
      </c>
      <c r="E306">
        <v>699</v>
      </c>
      <c r="F306">
        <v>3</v>
      </c>
      <c r="G306">
        <v>2097</v>
      </c>
      <c r="H306" t="s">
        <v>66</v>
      </c>
      <c r="I306" t="s">
        <v>16</v>
      </c>
      <c r="J306" t="s">
        <v>32</v>
      </c>
      <c r="K306" t="s">
        <v>18</v>
      </c>
    </row>
    <row r="307" spans="1:11">
      <c r="A307" t="s">
        <v>524</v>
      </c>
      <c r="B307" t="s">
        <v>472</v>
      </c>
      <c r="C307" t="s">
        <v>28</v>
      </c>
      <c r="D307" t="s">
        <v>29</v>
      </c>
      <c r="E307">
        <v>1299</v>
      </c>
      <c r="F307">
        <v>2</v>
      </c>
      <c r="G307">
        <v>2598</v>
      </c>
      <c r="H307" t="s">
        <v>56</v>
      </c>
      <c r="I307" t="s">
        <v>105</v>
      </c>
      <c r="J307" t="s">
        <v>32</v>
      </c>
      <c r="K307" t="s">
        <v>18</v>
      </c>
    </row>
    <row r="308" spans="1:11">
      <c r="A308" t="s">
        <v>525</v>
      </c>
      <c r="B308" t="s">
        <v>210</v>
      </c>
      <c r="C308" t="s">
        <v>76</v>
      </c>
      <c r="D308" t="s">
        <v>49</v>
      </c>
      <c r="E308">
        <v>1599</v>
      </c>
      <c r="F308">
        <v>4</v>
      </c>
      <c r="G308">
        <v>6396</v>
      </c>
      <c r="H308" t="s">
        <v>66</v>
      </c>
      <c r="I308" t="s">
        <v>105</v>
      </c>
      <c r="J308" t="s">
        <v>32</v>
      </c>
      <c r="K308" t="s">
        <v>18</v>
      </c>
    </row>
    <row r="309" spans="1:11">
      <c r="A309" t="s">
        <v>526</v>
      </c>
      <c r="B309" t="s">
        <v>121</v>
      </c>
      <c r="C309" t="s">
        <v>122</v>
      </c>
      <c r="D309" t="s">
        <v>29</v>
      </c>
      <c r="E309">
        <v>1299</v>
      </c>
      <c r="F309">
        <v>5</v>
      </c>
      <c r="G309">
        <v>6495</v>
      </c>
      <c r="H309" t="s">
        <v>37</v>
      </c>
      <c r="I309" t="s">
        <v>105</v>
      </c>
      <c r="J309" t="s">
        <v>90</v>
      </c>
      <c r="K309" t="s">
        <v>18</v>
      </c>
    </row>
    <row r="310" spans="1:11">
      <c r="A310" t="s">
        <v>527</v>
      </c>
      <c r="B310" t="s">
        <v>365</v>
      </c>
      <c r="C310" t="s">
        <v>122</v>
      </c>
      <c r="D310" t="s">
        <v>29</v>
      </c>
      <c r="E310">
        <v>1299</v>
      </c>
      <c r="F310">
        <v>1</v>
      </c>
      <c r="G310">
        <v>1299</v>
      </c>
      <c r="H310" t="s">
        <v>56</v>
      </c>
      <c r="I310" t="s">
        <v>31</v>
      </c>
      <c r="J310" t="s">
        <v>17</v>
      </c>
      <c r="K310" t="s">
        <v>45</v>
      </c>
    </row>
    <row r="311" spans="1:11">
      <c r="A311" t="s">
        <v>528</v>
      </c>
      <c r="B311" t="s">
        <v>200</v>
      </c>
      <c r="C311" t="s">
        <v>52</v>
      </c>
      <c r="D311" t="s">
        <v>53</v>
      </c>
      <c r="E311">
        <v>199</v>
      </c>
      <c r="F311">
        <v>3</v>
      </c>
      <c r="G311">
        <v>597</v>
      </c>
      <c r="H311" t="s">
        <v>56</v>
      </c>
      <c r="I311" t="s">
        <v>44</v>
      </c>
      <c r="J311" t="s">
        <v>25</v>
      </c>
      <c r="K311" t="s">
        <v>18</v>
      </c>
    </row>
    <row r="312" spans="1:11">
      <c r="A312" t="s">
        <v>529</v>
      </c>
      <c r="B312" t="s">
        <v>167</v>
      </c>
      <c r="C312" t="s">
        <v>135</v>
      </c>
      <c r="D312" t="s">
        <v>29</v>
      </c>
      <c r="E312">
        <v>3999</v>
      </c>
      <c r="F312">
        <v>5</v>
      </c>
      <c r="G312">
        <v>19995</v>
      </c>
      <c r="H312" t="s">
        <v>95</v>
      </c>
      <c r="I312" t="s">
        <v>77</v>
      </c>
      <c r="J312" t="s">
        <v>38</v>
      </c>
      <c r="K312" t="s">
        <v>18</v>
      </c>
    </row>
    <row r="313" spans="1:11">
      <c r="A313" t="s">
        <v>530</v>
      </c>
      <c r="B313" t="s">
        <v>445</v>
      </c>
      <c r="C313" t="s">
        <v>52</v>
      </c>
      <c r="D313" t="s">
        <v>53</v>
      </c>
      <c r="E313">
        <v>199</v>
      </c>
      <c r="F313">
        <v>1</v>
      </c>
      <c r="G313">
        <v>199</v>
      </c>
      <c r="H313" t="s">
        <v>66</v>
      </c>
      <c r="I313" t="s">
        <v>98</v>
      </c>
      <c r="J313" t="s">
        <v>25</v>
      </c>
      <c r="K313" t="s">
        <v>18</v>
      </c>
    </row>
    <row r="314" spans="1:11">
      <c r="A314" t="s">
        <v>531</v>
      </c>
      <c r="B314" t="s">
        <v>395</v>
      </c>
      <c r="C314" t="s">
        <v>76</v>
      </c>
      <c r="D314" t="s">
        <v>49</v>
      </c>
      <c r="E314">
        <v>1599</v>
      </c>
      <c r="F314">
        <v>5</v>
      </c>
      <c r="G314">
        <v>7995</v>
      </c>
      <c r="H314" t="s">
        <v>102</v>
      </c>
      <c r="I314" t="s">
        <v>44</v>
      </c>
      <c r="J314" t="s">
        <v>17</v>
      </c>
      <c r="K314" t="s">
        <v>18</v>
      </c>
    </row>
    <row r="315" spans="1:11">
      <c r="A315" t="s">
        <v>532</v>
      </c>
      <c r="B315" t="s">
        <v>533</v>
      </c>
      <c r="C315" t="s">
        <v>87</v>
      </c>
      <c r="D315" t="s">
        <v>88</v>
      </c>
      <c r="E315">
        <v>5499</v>
      </c>
      <c r="F315">
        <v>3</v>
      </c>
      <c r="G315">
        <v>16497</v>
      </c>
      <c r="H315" t="s">
        <v>119</v>
      </c>
      <c r="I315" t="s">
        <v>105</v>
      </c>
      <c r="J315" t="s">
        <v>17</v>
      </c>
      <c r="K315" t="s">
        <v>18</v>
      </c>
    </row>
    <row r="316" spans="1:11">
      <c r="A316" t="s">
        <v>534</v>
      </c>
      <c r="B316" t="s">
        <v>255</v>
      </c>
      <c r="C316" t="s">
        <v>135</v>
      </c>
      <c r="D316" t="s">
        <v>29</v>
      </c>
      <c r="E316">
        <v>3999</v>
      </c>
      <c r="F316">
        <v>3</v>
      </c>
      <c r="G316">
        <v>11997</v>
      </c>
      <c r="H316" t="s">
        <v>62</v>
      </c>
      <c r="I316" t="s">
        <v>98</v>
      </c>
      <c r="J316" t="s">
        <v>38</v>
      </c>
      <c r="K316" t="s">
        <v>45</v>
      </c>
    </row>
    <row r="317" spans="1:11">
      <c r="A317" t="s">
        <v>535</v>
      </c>
      <c r="B317" t="s">
        <v>130</v>
      </c>
      <c r="C317" t="s">
        <v>13</v>
      </c>
      <c r="D317" t="s">
        <v>14</v>
      </c>
      <c r="E317">
        <v>2499</v>
      </c>
      <c r="F317">
        <v>4</v>
      </c>
      <c r="G317">
        <v>9996</v>
      </c>
      <c r="H317" t="s">
        <v>119</v>
      </c>
      <c r="I317" t="s">
        <v>125</v>
      </c>
      <c r="J317" t="s">
        <v>32</v>
      </c>
      <c r="K317" t="s">
        <v>45</v>
      </c>
    </row>
    <row r="318" spans="1:11">
      <c r="A318" t="s">
        <v>536</v>
      </c>
      <c r="B318" t="s">
        <v>227</v>
      </c>
      <c r="C318" t="s">
        <v>52</v>
      </c>
      <c r="D318" t="s">
        <v>53</v>
      </c>
      <c r="E318">
        <v>199</v>
      </c>
      <c r="F318">
        <v>3</v>
      </c>
      <c r="G318">
        <v>597</v>
      </c>
      <c r="H318" t="s">
        <v>89</v>
      </c>
      <c r="I318" t="s">
        <v>44</v>
      </c>
      <c r="J318" t="s">
        <v>17</v>
      </c>
      <c r="K318" t="s">
        <v>18</v>
      </c>
    </row>
    <row r="319" spans="1:11">
      <c r="A319" t="s">
        <v>537</v>
      </c>
      <c r="B319" t="s">
        <v>92</v>
      </c>
      <c r="C319" t="s">
        <v>70</v>
      </c>
      <c r="D319" t="s">
        <v>29</v>
      </c>
      <c r="E319">
        <v>799</v>
      </c>
      <c r="F319">
        <v>1</v>
      </c>
      <c r="G319">
        <v>799</v>
      </c>
      <c r="H319" t="s">
        <v>102</v>
      </c>
      <c r="I319" t="s">
        <v>44</v>
      </c>
      <c r="J319" t="s">
        <v>90</v>
      </c>
      <c r="K319" t="s">
        <v>18</v>
      </c>
    </row>
    <row r="320" spans="1:11">
      <c r="A320" t="s">
        <v>538</v>
      </c>
      <c r="B320" t="s">
        <v>447</v>
      </c>
      <c r="C320" t="s">
        <v>122</v>
      </c>
      <c r="D320" t="s">
        <v>29</v>
      </c>
      <c r="E320">
        <v>1299</v>
      </c>
      <c r="F320">
        <v>3</v>
      </c>
      <c r="G320">
        <v>3897</v>
      </c>
      <c r="H320" t="s">
        <v>30</v>
      </c>
      <c r="I320" t="s">
        <v>31</v>
      </c>
      <c r="J320" t="s">
        <v>25</v>
      </c>
      <c r="K320" t="s">
        <v>18</v>
      </c>
    </row>
    <row r="321" spans="1:11">
      <c r="A321" t="s">
        <v>539</v>
      </c>
      <c r="B321" t="s">
        <v>42</v>
      </c>
      <c r="C321" t="s">
        <v>60</v>
      </c>
      <c r="D321" t="s">
        <v>61</v>
      </c>
      <c r="E321">
        <v>899</v>
      </c>
      <c r="F321">
        <v>1</v>
      </c>
      <c r="G321">
        <v>899</v>
      </c>
      <c r="H321" t="s">
        <v>23</v>
      </c>
      <c r="I321" t="s">
        <v>105</v>
      </c>
      <c r="J321" t="s">
        <v>32</v>
      </c>
      <c r="K321" t="s">
        <v>18</v>
      </c>
    </row>
    <row r="322" spans="1:11">
      <c r="A322" t="s">
        <v>540</v>
      </c>
      <c r="B322" t="s">
        <v>474</v>
      </c>
      <c r="C322" t="s">
        <v>60</v>
      </c>
      <c r="D322" t="s">
        <v>61</v>
      </c>
      <c r="E322">
        <v>899</v>
      </c>
      <c r="F322">
        <v>3</v>
      </c>
      <c r="G322">
        <v>2697</v>
      </c>
      <c r="H322" t="s">
        <v>23</v>
      </c>
      <c r="I322" t="s">
        <v>98</v>
      </c>
      <c r="J322" t="s">
        <v>90</v>
      </c>
      <c r="K322" t="s">
        <v>18</v>
      </c>
    </row>
    <row r="323" spans="1:11">
      <c r="A323" t="s">
        <v>541</v>
      </c>
      <c r="B323" t="s">
        <v>356</v>
      </c>
      <c r="C323" t="s">
        <v>87</v>
      </c>
      <c r="D323" t="s">
        <v>88</v>
      </c>
      <c r="E323">
        <v>5499</v>
      </c>
      <c r="F323">
        <v>1</v>
      </c>
      <c r="G323">
        <v>5499</v>
      </c>
      <c r="H323" t="s">
        <v>15</v>
      </c>
      <c r="I323" t="s">
        <v>98</v>
      </c>
      <c r="J323" t="s">
        <v>17</v>
      </c>
      <c r="K323" t="s">
        <v>33</v>
      </c>
    </row>
    <row r="324" spans="1:11">
      <c r="A324" t="s">
        <v>542</v>
      </c>
      <c r="B324" t="s">
        <v>40</v>
      </c>
      <c r="C324" t="s">
        <v>21</v>
      </c>
      <c r="D324" t="s">
        <v>22</v>
      </c>
      <c r="E324">
        <v>1499</v>
      </c>
      <c r="F324">
        <v>1</v>
      </c>
      <c r="G324">
        <v>1499</v>
      </c>
      <c r="H324" t="s">
        <v>71</v>
      </c>
      <c r="I324" t="s">
        <v>31</v>
      </c>
      <c r="J324" t="s">
        <v>32</v>
      </c>
      <c r="K324" t="s">
        <v>18</v>
      </c>
    </row>
    <row r="325" spans="1:11">
      <c r="A325" t="s">
        <v>543</v>
      </c>
      <c r="B325" t="s">
        <v>100</v>
      </c>
      <c r="C325" t="s">
        <v>28</v>
      </c>
      <c r="D325" t="s">
        <v>29</v>
      </c>
      <c r="E325">
        <v>1299</v>
      </c>
      <c r="F325">
        <v>3</v>
      </c>
      <c r="G325">
        <v>3897</v>
      </c>
      <c r="H325" t="s">
        <v>89</v>
      </c>
      <c r="I325" t="s">
        <v>125</v>
      </c>
      <c r="J325" t="s">
        <v>25</v>
      </c>
      <c r="K325" t="s">
        <v>18</v>
      </c>
    </row>
    <row r="326" spans="1:11">
      <c r="A326" t="s">
        <v>544</v>
      </c>
      <c r="B326" t="s">
        <v>335</v>
      </c>
      <c r="C326" t="s">
        <v>87</v>
      </c>
      <c r="D326" t="s">
        <v>88</v>
      </c>
      <c r="E326">
        <v>5499</v>
      </c>
      <c r="F326">
        <v>3</v>
      </c>
      <c r="G326">
        <v>16497</v>
      </c>
      <c r="H326" t="s">
        <v>89</v>
      </c>
      <c r="I326" t="s">
        <v>24</v>
      </c>
      <c r="J326" t="s">
        <v>17</v>
      </c>
      <c r="K326" t="s">
        <v>18</v>
      </c>
    </row>
    <row r="327" spans="1:11">
      <c r="A327" t="s">
        <v>545</v>
      </c>
      <c r="B327" t="s">
        <v>546</v>
      </c>
      <c r="C327" t="s">
        <v>21</v>
      </c>
      <c r="D327" t="s">
        <v>22</v>
      </c>
      <c r="E327">
        <v>1499</v>
      </c>
      <c r="F327">
        <v>4</v>
      </c>
      <c r="G327">
        <v>5996</v>
      </c>
      <c r="H327" t="s">
        <v>66</v>
      </c>
      <c r="I327" t="s">
        <v>63</v>
      </c>
      <c r="J327" t="s">
        <v>25</v>
      </c>
      <c r="K327" t="s">
        <v>18</v>
      </c>
    </row>
    <row r="328" spans="1:11">
      <c r="A328" t="s">
        <v>547</v>
      </c>
      <c r="B328" t="s">
        <v>20</v>
      </c>
      <c r="C328" t="s">
        <v>162</v>
      </c>
      <c r="D328" t="s">
        <v>29</v>
      </c>
      <c r="E328">
        <v>1799</v>
      </c>
      <c r="F328">
        <v>4</v>
      </c>
      <c r="G328">
        <v>7196</v>
      </c>
      <c r="H328" t="s">
        <v>23</v>
      </c>
      <c r="I328" t="s">
        <v>24</v>
      </c>
      <c r="J328" t="s">
        <v>38</v>
      </c>
      <c r="K328" t="s">
        <v>18</v>
      </c>
    </row>
    <row r="329" spans="1:11">
      <c r="A329" t="s">
        <v>548</v>
      </c>
      <c r="B329" t="s">
        <v>92</v>
      </c>
      <c r="C329" t="s">
        <v>87</v>
      </c>
      <c r="D329" t="s">
        <v>88</v>
      </c>
      <c r="E329">
        <v>5499</v>
      </c>
      <c r="F329">
        <v>2</v>
      </c>
      <c r="G329">
        <v>10998</v>
      </c>
      <c r="H329" t="s">
        <v>186</v>
      </c>
      <c r="I329" t="s">
        <v>77</v>
      </c>
      <c r="J329" t="s">
        <v>90</v>
      </c>
      <c r="K329" t="s">
        <v>18</v>
      </c>
    </row>
    <row r="330" spans="1:11">
      <c r="A330" t="s">
        <v>549</v>
      </c>
      <c r="B330" t="s">
        <v>546</v>
      </c>
      <c r="C330" t="s">
        <v>76</v>
      </c>
      <c r="D330" t="s">
        <v>49</v>
      </c>
      <c r="E330">
        <v>1599</v>
      </c>
      <c r="F330">
        <v>2</v>
      </c>
      <c r="G330">
        <v>3198</v>
      </c>
      <c r="H330" t="s">
        <v>23</v>
      </c>
      <c r="I330" t="s">
        <v>98</v>
      </c>
      <c r="J330" t="s">
        <v>17</v>
      </c>
      <c r="K330" t="s">
        <v>45</v>
      </c>
    </row>
    <row r="331" spans="1:11">
      <c r="A331" t="s">
        <v>550</v>
      </c>
      <c r="B331" t="s">
        <v>205</v>
      </c>
      <c r="C331" t="s">
        <v>13</v>
      </c>
      <c r="D331" t="s">
        <v>14</v>
      </c>
      <c r="E331">
        <v>2499</v>
      </c>
      <c r="F331">
        <v>4</v>
      </c>
      <c r="G331">
        <v>9996</v>
      </c>
      <c r="H331" t="s">
        <v>102</v>
      </c>
      <c r="I331" t="s">
        <v>16</v>
      </c>
      <c r="J331" t="s">
        <v>17</v>
      </c>
      <c r="K331" t="s">
        <v>18</v>
      </c>
    </row>
    <row r="332" spans="1:11">
      <c r="A332" t="s">
        <v>551</v>
      </c>
      <c r="B332" t="s">
        <v>217</v>
      </c>
      <c r="C332" t="s">
        <v>28</v>
      </c>
      <c r="D332" t="s">
        <v>29</v>
      </c>
      <c r="E332">
        <v>1299</v>
      </c>
      <c r="F332">
        <v>4</v>
      </c>
      <c r="G332">
        <v>5196</v>
      </c>
      <c r="H332" t="s">
        <v>37</v>
      </c>
      <c r="I332" t="s">
        <v>57</v>
      </c>
      <c r="J332" t="s">
        <v>17</v>
      </c>
      <c r="K332" t="s">
        <v>18</v>
      </c>
    </row>
    <row r="333" spans="1:11">
      <c r="A333" t="s">
        <v>552</v>
      </c>
      <c r="B333" t="s">
        <v>553</v>
      </c>
      <c r="C333" t="s">
        <v>13</v>
      </c>
      <c r="D333" t="s">
        <v>14</v>
      </c>
      <c r="E333">
        <v>2499</v>
      </c>
      <c r="F333">
        <v>4</v>
      </c>
      <c r="G333">
        <v>9996</v>
      </c>
      <c r="H333" t="s">
        <v>95</v>
      </c>
      <c r="I333" t="s">
        <v>31</v>
      </c>
      <c r="J333" t="s">
        <v>17</v>
      </c>
      <c r="K333" t="s">
        <v>18</v>
      </c>
    </row>
    <row r="334" spans="1:11">
      <c r="A334" t="s">
        <v>554</v>
      </c>
      <c r="B334" t="s">
        <v>152</v>
      </c>
      <c r="C334" t="s">
        <v>101</v>
      </c>
      <c r="D334" t="s">
        <v>81</v>
      </c>
      <c r="E334">
        <v>499</v>
      </c>
      <c r="F334">
        <v>2</v>
      </c>
      <c r="G334">
        <v>998</v>
      </c>
      <c r="H334" t="s">
        <v>23</v>
      </c>
      <c r="I334" t="s">
        <v>44</v>
      </c>
      <c r="J334" t="s">
        <v>90</v>
      </c>
      <c r="K334" t="s">
        <v>45</v>
      </c>
    </row>
    <row r="335" spans="1:11">
      <c r="A335" t="s">
        <v>555</v>
      </c>
      <c r="B335" t="s">
        <v>205</v>
      </c>
      <c r="C335" t="s">
        <v>13</v>
      </c>
      <c r="D335" t="s">
        <v>14</v>
      </c>
      <c r="E335">
        <v>2499</v>
      </c>
      <c r="F335">
        <v>4</v>
      </c>
      <c r="G335">
        <v>9996</v>
      </c>
      <c r="H335" t="s">
        <v>43</v>
      </c>
      <c r="I335" t="s">
        <v>57</v>
      </c>
      <c r="J335" t="s">
        <v>32</v>
      </c>
      <c r="K335" t="s">
        <v>18</v>
      </c>
    </row>
    <row r="336" spans="1:11">
      <c r="A336" t="s">
        <v>556</v>
      </c>
      <c r="B336" t="s">
        <v>557</v>
      </c>
      <c r="C336" t="s">
        <v>28</v>
      </c>
      <c r="D336" t="s">
        <v>29</v>
      </c>
      <c r="E336">
        <v>1299</v>
      </c>
      <c r="F336">
        <v>1</v>
      </c>
      <c r="G336">
        <v>1299</v>
      </c>
      <c r="H336" t="s">
        <v>89</v>
      </c>
      <c r="I336" t="s">
        <v>44</v>
      </c>
      <c r="J336" t="s">
        <v>32</v>
      </c>
      <c r="K336" t="s">
        <v>18</v>
      </c>
    </row>
    <row r="337" spans="1:11">
      <c r="A337" t="s">
        <v>558</v>
      </c>
      <c r="B337" t="s">
        <v>321</v>
      </c>
      <c r="C337" t="s">
        <v>52</v>
      </c>
      <c r="D337" t="s">
        <v>53</v>
      </c>
      <c r="E337">
        <v>199</v>
      </c>
      <c r="F337">
        <v>1</v>
      </c>
      <c r="G337">
        <v>199</v>
      </c>
      <c r="H337" t="s">
        <v>89</v>
      </c>
      <c r="I337" t="s">
        <v>98</v>
      </c>
      <c r="J337" t="s">
        <v>90</v>
      </c>
      <c r="K337" t="s">
        <v>18</v>
      </c>
    </row>
    <row r="338" spans="1:11">
      <c r="A338" t="s">
        <v>559</v>
      </c>
      <c r="B338" t="s">
        <v>257</v>
      </c>
      <c r="C338" t="s">
        <v>52</v>
      </c>
      <c r="D338" t="s">
        <v>53</v>
      </c>
      <c r="E338">
        <v>199</v>
      </c>
      <c r="F338">
        <v>3</v>
      </c>
      <c r="G338">
        <v>597</v>
      </c>
      <c r="H338" t="s">
        <v>102</v>
      </c>
      <c r="I338" t="s">
        <v>63</v>
      </c>
      <c r="J338" t="s">
        <v>32</v>
      </c>
      <c r="K338" t="s">
        <v>18</v>
      </c>
    </row>
    <row r="339" spans="1:11">
      <c r="A339" t="s">
        <v>560</v>
      </c>
      <c r="B339" t="s">
        <v>561</v>
      </c>
      <c r="C339" t="s">
        <v>70</v>
      </c>
      <c r="D339" t="s">
        <v>29</v>
      </c>
      <c r="E339">
        <v>799</v>
      </c>
      <c r="F339">
        <v>4</v>
      </c>
      <c r="G339">
        <v>3196</v>
      </c>
      <c r="H339" t="s">
        <v>186</v>
      </c>
      <c r="I339" t="s">
        <v>44</v>
      </c>
      <c r="J339" t="s">
        <v>38</v>
      </c>
      <c r="K339" t="s">
        <v>18</v>
      </c>
    </row>
    <row r="340" spans="1:11">
      <c r="A340" t="s">
        <v>562</v>
      </c>
      <c r="B340" t="s">
        <v>203</v>
      </c>
      <c r="C340" t="s">
        <v>101</v>
      </c>
      <c r="D340" t="s">
        <v>81</v>
      </c>
      <c r="E340">
        <v>499</v>
      </c>
      <c r="F340">
        <v>1</v>
      </c>
      <c r="G340">
        <v>499</v>
      </c>
      <c r="H340" t="s">
        <v>102</v>
      </c>
      <c r="I340" t="s">
        <v>67</v>
      </c>
      <c r="J340" t="s">
        <v>25</v>
      </c>
      <c r="K340" t="s">
        <v>18</v>
      </c>
    </row>
    <row r="341" spans="1:11">
      <c r="A341" t="s">
        <v>563</v>
      </c>
      <c r="B341" t="s">
        <v>12</v>
      </c>
      <c r="C341" t="s">
        <v>60</v>
      </c>
      <c r="D341" t="s">
        <v>61</v>
      </c>
      <c r="E341">
        <v>899</v>
      </c>
      <c r="F341">
        <v>3</v>
      </c>
      <c r="G341">
        <v>2697</v>
      </c>
      <c r="H341" t="s">
        <v>71</v>
      </c>
      <c r="I341" t="s">
        <v>125</v>
      </c>
      <c r="J341" t="s">
        <v>17</v>
      </c>
      <c r="K341" t="s">
        <v>18</v>
      </c>
    </row>
    <row r="342" spans="1:11">
      <c r="A342" t="s">
        <v>564</v>
      </c>
      <c r="B342" t="s">
        <v>92</v>
      </c>
      <c r="C342" t="s">
        <v>80</v>
      </c>
      <c r="D342" t="s">
        <v>81</v>
      </c>
      <c r="E342">
        <v>299</v>
      </c>
      <c r="F342">
        <v>1</v>
      </c>
      <c r="G342">
        <v>299</v>
      </c>
      <c r="H342" t="s">
        <v>37</v>
      </c>
      <c r="I342" t="s">
        <v>125</v>
      </c>
      <c r="J342" t="s">
        <v>90</v>
      </c>
      <c r="K342" t="s">
        <v>18</v>
      </c>
    </row>
    <row r="343" spans="1:11">
      <c r="A343" t="s">
        <v>565</v>
      </c>
      <c r="B343" t="s">
        <v>387</v>
      </c>
      <c r="C343" t="s">
        <v>101</v>
      </c>
      <c r="D343" t="s">
        <v>81</v>
      </c>
      <c r="E343">
        <v>499</v>
      </c>
      <c r="F343">
        <v>1</v>
      </c>
      <c r="G343">
        <v>499</v>
      </c>
      <c r="H343" t="s">
        <v>95</v>
      </c>
      <c r="I343" t="s">
        <v>31</v>
      </c>
      <c r="J343" t="s">
        <v>38</v>
      </c>
      <c r="K343" t="s">
        <v>33</v>
      </c>
    </row>
    <row r="344" spans="1:11">
      <c r="A344" t="s">
        <v>566</v>
      </c>
      <c r="B344" t="s">
        <v>229</v>
      </c>
      <c r="C344" t="s">
        <v>21</v>
      </c>
      <c r="D344" t="s">
        <v>22</v>
      </c>
      <c r="E344">
        <v>1499</v>
      </c>
      <c r="F344">
        <v>2</v>
      </c>
      <c r="G344">
        <v>2998</v>
      </c>
      <c r="H344" t="s">
        <v>43</v>
      </c>
      <c r="I344" t="s">
        <v>67</v>
      </c>
      <c r="J344" t="s">
        <v>17</v>
      </c>
      <c r="K344" t="s">
        <v>18</v>
      </c>
    </row>
    <row r="345" spans="1:11">
      <c r="A345" t="s">
        <v>567</v>
      </c>
      <c r="B345" t="s">
        <v>568</v>
      </c>
      <c r="C345" t="s">
        <v>21</v>
      </c>
      <c r="D345" t="s">
        <v>22</v>
      </c>
      <c r="E345">
        <v>1499</v>
      </c>
      <c r="F345">
        <v>3</v>
      </c>
      <c r="G345">
        <v>4497</v>
      </c>
      <c r="H345" t="s">
        <v>23</v>
      </c>
      <c r="I345" t="s">
        <v>125</v>
      </c>
      <c r="J345" t="s">
        <v>90</v>
      </c>
      <c r="K345" t="s">
        <v>33</v>
      </c>
    </row>
    <row r="346" spans="1:11">
      <c r="A346" t="s">
        <v>569</v>
      </c>
      <c r="B346" t="s">
        <v>84</v>
      </c>
      <c r="C346" t="s">
        <v>162</v>
      </c>
      <c r="D346" t="s">
        <v>29</v>
      </c>
      <c r="E346">
        <v>1799</v>
      </c>
      <c r="F346">
        <v>2</v>
      </c>
      <c r="G346">
        <v>3598</v>
      </c>
      <c r="H346" t="s">
        <v>71</v>
      </c>
      <c r="I346" t="s">
        <v>82</v>
      </c>
      <c r="J346" t="s">
        <v>38</v>
      </c>
      <c r="K346" t="s">
        <v>18</v>
      </c>
    </row>
    <row r="347" spans="1:11">
      <c r="A347" t="s">
        <v>570</v>
      </c>
      <c r="B347" t="s">
        <v>340</v>
      </c>
      <c r="C347" t="s">
        <v>21</v>
      </c>
      <c r="D347" t="s">
        <v>22</v>
      </c>
      <c r="E347">
        <v>1499</v>
      </c>
      <c r="F347">
        <v>4</v>
      </c>
      <c r="G347">
        <v>5996</v>
      </c>
      <c r="H347" t="s">
        <v>56</v>
      </c>
      <c r="I347" t="s">
        <v>77</v>
      </c>
      <c r="J347" t="s">
        <v>32</v>
      </c>
      <c r="K347" t="s">
        <v>45</v>
      </c>
    </row>
    <row r="348" spans="1:11">
      <c r="A348" t="s">
        <v>571</v>
      </c>
      <c r="B348" t="s">
        <v>51</v>
      </c>
      <c r="C348" t="s">
        <v>122</v>
      </c>
      <c r="D348" t="s">
        <v>29</v>
      </c>
      <c r="E348">
        <v>1299</v>
      </c>
      <c r="F348">
        <v>3</v>
      </c>
      <c r="G348">
        <v>3897</v>
      </c>
      <c r="H348" t="s">
        <v>37</v>
      </c>
      <c r="I348" t="s">
        <v>98</v>
      </c>
      <c r="J348" t="s">
        <v>25</v>
      </c>
      <c r="K348" t="s">
        <v>18</v>
      </c>
    </row>
    <row r="349" spans="1:11">
      <c r="A349" t="s">
        <v>572</v>
      </c>
      <c r="B349" t="s">
        <v>331</v>
      </c>
      <c r="C349" t="s">
        <v>36</v>
      </c>
      <c r="D349" t="s">
        <v>29</v>
      </c>
      <c r="E349">
        <v>1999</v>
      </c>
      <c r="F349">
        <v>2</v>
      </c>
      <c r="G349">
        <v>3998</v>
      </c>
      <c r="H349" t="s">
        <v>43</v>
      </c>
      <c r="I349" t="s">
        <v>31</v>
      </c>
      <c r="J349" t="s">
        <v>38</v>
      </c>
      <c r="K349" t="s">
        <v>18</v>
      </c>
    </row>
    <row r="350" spans="1:11">
      <c r="A350" t="s">
        <v>573</v>
      </c>
      <c r="B350" t="s">
        <v>156</v>
      </c>
      <c r="C350" t="s">
        <v>28</v>
      </c>
      <c r="D350" t="s">
        <v>29</v>
      </c>
      <c r="E350">
        <v>1299</v>
      </c>
      <c r="F350">
        <v>5</v>
      </c>
      <c r="G350">
        <v>6495</v>
      </c>
      <c r="H350" t="s">
        <v>71</v>
      </c>
      <c r="I350" t="s">
        <v>77</v>
      </c>
      <c r="J350" t="s">
        <v>38</v>
      </c>
      <c r="K350" t="s">
        <v>18</v>
      </c>
    </row>
    <row r="351" spans="1:11">
      <c r="A351" t="s">
        <v>574</v>
      </c>
      <c r="B351" t="s">
        <v>207</v>
      </c>
      <c r="C351" t="s">
        <v>162</v>
      </c>
      <c r="D351" t="s">
        <v>29</v>
      </c>
      <c r="E351">
        <v>1799</v>
      </c>
      <c r="F351">
        <v>4</v>
      </c>
      <c r="G351">
        <v>7196</v>
      </c>
      <c r="H351" t="s">
        <v>119</v>
      </c>
      <c r="I351" t="s">
        <v>16</v>
      </c>
      <c r="J351" t="s">
        <v>25</v>
      </c>
      <c r="K351" t="s">
        <v>18</v>
      </c>
    </row>
    <row r="352" spans="1:11">
      <c r="A352" t="s">
        <v>575</v>
      </c>
      <c r="B352" t="s">
        <v>576</v>
      </c>
      <c r="C352" t="s">
        <v>70</v>
      </c>
      <c r="D352" t="s">
        <v>29</v>
      </c>
      <c r="E352">
        <v>799</v>
      </c>
      <c r="F352">
        <v>4</v>
      </c>
      <c r="G352">
        <v>3196</v>
      </c>
      <c r="H352" t="s">
        <v>37</v>
      </c>
      <c r="I352" t="s">
        <v>16</v>
      </c>
      <c r="J352" t="s">
        <v>17</v>
      </c>
      <c r="K352" t="s">
        <v>45</v>
      </c>
    </row>
    <row r="353" spans="1:11">
      <c r="A353" t="s">
        <v>577</v>
      </c>
      <c r="B353" t="s">
        <v>212</v>
      </c>
      <c r="C353" t="s">
        <v>87</v>
      </c>
      <c r="D353" t="s">
        <v>88</v>
      </c>
      <c r="E353">
        <v>5499</v>
      </c>
      <c r="F353">
        <v>4</v>
      </c>
      <c r="G353">
        <v>21996</v>
      </c>
      <c r="H353" t="s">
        <v>95</v>
      </c>
      <c r="I353" t="s">
        <v>105</v>
      </c>
      <c r="J353" t="s">
        <v>38</v>
      </c>
      <c r="K353" t="s">
        <v>18</v>
      </c>
    </row>
    <row r="354" spans="1:11">
      <c r="A354" t="s">
        <v>578</v>
      </c>
      <c r="B354" t="s">
        <v>79</v>
      </c>
      <c r="C354" t="s">
        <v>87</v>
      </c>
      <c r="D354" t="s">
        <v>88</v>
      </c>
      <c r="E354">
        <v>5499</v>
      </c>
      <c r="F354">
        <v>4</v>
      </c>
      <c r="G354">
        <v>21996</v>
      </c>
      <c r="H354" t="s">
        <v>95</v>
      </c>
      <c r="I354" t="s">
        <v>16</v>
      </c>
      <c r="J354" t="s">
        <v>38</v>
      </c>
      <c r="K354" t="s">
        <v>18</v>
      </c>
    </row>
    <row r="355" spans="1:11">
      <c r="A355" t="s">
        <v>579</v>
      </c>
      <c r="B355" t="s">
        <v>335</v>
      </c>
      <c r="C355" t="s">
        <v>87</v>
      </c>
      <c r="D355" t="s">
        <v>88</v>
      </c>
      <c r="E355">
        <v>5499</v>
      </c>
      <c r="F355">
        <v>4</v>
      </c>
      <c r="G355">
        <v>21996</v>
      </c>
      <c r="H355" t="s">
        <v>119</v>
      </c>
      <c r="I355" t="s">
        <v>16</v>
      </c>
      <c r="J355" t="s">
        <v>32</v>
      </c>
      <c r="K355" t="s">
        <v>18</v>
      </c>
    </row>
    <row r="356" spans="1:11">
      <c r="A356" t="s">
        <v>580</v>
      </c>
      <c r="B356" t="s">
        <v>379</v>
      </c>
      <c r="C356" t="s">
        <v>135</v>
      </c>
      <c r="D356" t="s">
        <v>29</v>
      </c>
      <c r="E356">
        <v>3999</v>
      </c>
      <c r="F356">
        <v>2</v>
      </c>
      <c r="G356">
        <v>7998</v>
      </c>
      <c r="H356" t="s">
        <v>102</v>
      </c>
      <c r="I356" t="s">
        <v>63</v>
      </c>
      <c r="J356" t="s">
        <v>17</v>
      </c>
      <c r="K356" t="s">
        <v>18</v>
      </c>
    </row>
    <row r="357" spans="1:11">
      <c r="A357" t="s">
        <v>581</v>
      </c>
      <c r="B357" t="s">
        <v>84</v>
      </c>
      <c r="C357" t="s">
        <v>122</v>
      </c>
      <c r="D357" t="s">
        <v>29</v>
      </c>
      <c r="E357">
        <v>1299</v>
      </c>
      <c r="F357">
        <v>1</v>
      </c>
      <c r="G357">
        <v>1299</v>
      </c>
      <c r="H357" t="s">
        <v>89</v>
      </c>
      <c r="I357" t="s">
        <v>67</v>
      </c>
      <c r="J357" t="s">
        <v>17</v>
      </c>
      <c r="K357" t="s">
        <v>18</v>
      </c>
    </row>
    <row r="358" spans="1:11">
      <c r="A358" t="s">
        <v>582</v>
      </c>
      <c r="B358" t="s">
        <v>512</v>
      </c>
      <c r="C358" t="s">
        <v>21</v>
      </c>
      <c r="D358" t="s">
        <v>22</v>
      </c>
      <c r="E358">
        <v>1499</v>
      </c>
      <c r="F358">
        <v>4</v>
      </c>
      <c r="G358">
        <v>5996</v>
      </c>
      <c r="H358" t="s">
        <v>119</v>
      </c>
      <c r="I358" t="s">
        <v>67</v>
      </c>
      <c r="J358" t="s">
        <v>38</v>
      </c>
      <c r="K358" t="s">
        <v>18</v>
      </c>
    </row>
    <row r="359" spans="1:11">
      <c r="A359" t="s">
        <v>583</v>
      </c>
      <c r="B359" t="s">
        <v>340</v>
      </c>
      <c r="C359" t="s">
        <v>135</v>
      </c>
      <c r="D359" t="s">
        <v>29</v>
      </c>
      <c r="E359">
        <v>3999</v>
      </c>
      <c r="F359">
        <v>3</v>
      </c>
      <c r="G359">
        <v>11997</v>
      </c>
      <c r="H359" t="s">
        <v>56</v>
      </c>
      <c r="I359" t="s">
        <v>67</v>
      </c>
      <c r="J359" t="s">
        <v>25</v>
      </c>
      <c r="K359" t="s">
        <v>18</v>
      </c>
    </row>
    <row r="360" spans="1:11">
      <c r="A360" t="s">
        <v>584</v>
      </c>
      <c r="B360" t="s">
        <v>423</v>
      </c>
      <c r="C360" t="s">
        <v>21</v>
      </c>
      <c r="D360" t="s">
        <v>22</v>
      </c>
      <c r="E360">
        <v>1499</v>
      </c>
      <c r="F360">
        <v>5</v>
      </c>
      <c r="G360">
        <v>7495</v>
      </c>
      <c r="H360" t="s">
        <v>15</v>
      </c>
      <c r="I360" t="s">
        <v>57</v>
      </c>
      <c r="J360" t="s">
        <v>25</v>
      </c>
      <c r="K360" t="s">
        <v>18</v>
      </c>
    </row>
    <row r="361" spans="1:11">
      <c r="A361" t="s">
        <v>585</v>
      </c>
      <c r="B361" t="s">
        <v>340</v>
      </c>
      <c r="C361" t="s">
        <v>135</v>
      </c>
      <c r="D361" t="s">
        <v>29</v>
      </c>
      <c r="E361">
        <v>3999</v>
      </c>
      <c r="F361">
        <v>3</v>
      </c>
      <c r="G361">
        <v>11997</v>
      </c>
      <c r="H361" t="s">
        <v>43</v>
      </c>
      <c r="I361" t="s">
        <v>67</v>
      </c>
      <c r="J361" t="s">
        <v>25</v>
      </c>
      <c r="K361" t="s">
        <v>18</v>
      </c>
    </row>
    <row r="362" spans="1:11">
      <c r="A362" t="s">
        <v>586</v>
      </c>
      <c r="B362" t="s">
        <v>587</v>
      </c>
      <c r="C362" t="s">
        <v>28</v>
      </c>
      <c r="D362" t="s">
        <v>29</v>
      </c>
      <c r="E362">
        <v>1299</v>
      </c>
      <c r="F362">
        <v>1</v>
      </c>
      <c r="G362">
        <v>1299</v>
      </c>
      <c r="H362" t="s">
        <v>186</v>
      </c>
      <c r="I362" t="s">
        <v>82</v>
      </c>
      <c r="J362" t="s">
        <v>32</v>
      </c>
      <c r="K362" t="s">
        <v>18</v>
      </c>
    </row>
    <row r="363" spans="1:11">
      <c r="A363" t="s">
        <v>588</v>
      </c>
      <c r="B363" t="s">
        <v>297</v>
      </c>
      <c r="C363" t="s">
        <v>162</v>
      </c>
      <c r="D363" t="s">
        <v>29</v>
      </c>
      <c r="E363">
        <v>1799</v>
      </c>
      <c r="F363">
        <v>3</v>
      </c>
      <c r="G363">
        <v>5397</v>
      </c>
      <c r="H363" t="s">
        <v>43</v>
      </c>
      <c r="I363" t="s">
        <v>125</v>
      </c>
      <c r="J363" t="s">
        <v>17</v>
      </c>
      <c r="K363" t="s">
        <v>18</v>
      </c>
    </row>
    <row r="364" spans="1:11">
      <c r="A364" t="s">
        <v>589</v>
      </c>
      <c r="B364" t="s">
        <v>79</v>
      </c>
      <c r="C364" t="s">
        <v>80</v>
      </c>
      <c r="D364" t="s">
        <v>81</v>
      </c>
      <c r="E364">
        <v>299</v>
      </c>
      <c r="F364">
        <v>4</v>
      </c>
      <c r="G364">
        <v>1196</v>
      </c>
      <c r="H364" t="s">
        <v>89</v>
      </c>
      <c r="I364" t="s">
        <v>82</v>
      </c>
      <c r="J364" t="s">
        <v>32</v>
      </c>
      <c r="K364" t="s">
        <v>45</v>
      </c>
    </row>
    <row r="365" spans="1:11">
      <c r="A365" t="s">
        <v>590</v>
      </c>
      <c r="B365" t="s">
        <v>109</v>
      </c>
      <c r="C365" t="s">
        <v>76</v>
      </c>
      <c r="D365" t="s">
        <v>49</v>
      </c>
      <c r="E365">
        <v>1599</v>
      </c>
      <c r="F365">
        <v>3</v>
      </c>
      <c r="G365">
        <v>4797</v>
      </c>
      <c r="H365" t="s">
        <v>66</v>
      </c>
      <c r="I365" t="s">
        <v>98</v>
      </c>
      <c r="J365" t="s">
        <v>17</v>
      </c>
      <c r="K365" t="s">
        <v>33</v>
      </c>
    </row>
    <row r="366" spans="1:11">
      <c r="A366" t="s">
        <v>591</v>
      </c>
      <c r="B366" t="s">
        <v>152</v>
      </c>
      <c r="C366" t="s">
        <v>60</v>
      </c>
      <c r="D366" t="s">
        <v>61</v>
      </c>
      <c r="E366">
        <v>899</v>
      </c>
      <c r="F366">
        <v>5</v>
      </c>
      <c r="G366">
        <v>4495</v>
      </c>
      <c r="H366" t="s">
        <v>66</v>
      </c>
      <c r="I366" t="s">
        <v>24</v>
      </c>
      <c r="J366" t="s">
        <v>32</v>
      </c>
      <c r="K366" t="s">
        <v>45</v>
      </c>
    </row>
    <row r="367" spans="1:11">
      <c r="A367" t="s">
        <v>592</v>
      </c>
      <c r="B367" t="s">
        <v>274</v>
      </c>
      <c r="C367" t="s">
        <v>60</v>
      </c>
      <c r="D367" t="s">
        <v>61</v>
      </c>
      <c r="E367">
        <v>899</v>
      </c>
      <c r="F367">
        <v>4</v>
      </c>
      <c r="G367">
        <v>3596</v>
      </c>
      <c r="H367" t="s">
        <v>30</v>
      </c>
      <c r="I367" t="s">
        <v>125</v>
      </c>
      <c r="J367" t="s">
        <v>17</v>
      </c>
      <c r="K367" t="s">
        <v>45</v>
      </c>
    </row>
    <row r="368" spans="1:11">
      <c r="A368" t="s">
        <v>593</v>
      </c>
      <c r="B368" t="s">
        <v>361</v>
      </c>
      <c r="C368" t="s">
        <v>52</v>
      </c>
      <c r="D368" t="s">
        <v>53</v>
      </c>
      <c r="E368">
        <v>199</v>
      </c>
      <c r="F368">
        <v>3</v>
      </c>
      <c r="G368">
        <v>597</v>
      </c>
      <c r="H368" t="s">
        <v>62</v>
      </c>
      <c r="I368" t="s">
        <v>44</v>
      </c>
      <c r="J368" t="s">
        <v>32</v>
      </c>
      <c r="K368" t="s">
        <v>18</v>
      </c>
    </row>
    <row r="369" spans="1:11">
      <c r="A369" t="s">
        <v>594</v>
      </c>
      <c r="B369" t="s">
        <v>267</v>
      </c>
      <c r="C369" t="s">
        <v>80</v>
      </c>
      <c r="D369" t="s">
        <v>81</v>
      </c>
      <c r="E369">
        <v>299</v>
      </c>
      <c r="F369">
        <v>5</v>
      </c>
      <c r="G369">
        <v>1495</v>
      </c>
      <c r="H369" t="s">
        <v>30</v>
      </c>
      <c r="I369" t="s">
        <v>44</v>
      </c>
      <c r="J369" t="s">
        <v>38</v>
      </c>
      <c r="K369" t="s">
        <v>18</v>
      </c>
    </row>
    <row r="370" spans="1:11">
      <c r="A370" t="s">
        <v>595</v>
      </c>
      <c r="B370" t="s">
        <v>267</v>
      </c>
      <c r="C370" t="s">
        <v>21</v>
      </c>
      <c r="D370" t="s">
        <v>22</v>
      </c>
      <c r="E370">
        <v>1499</v>
      </c>
      <c r="F370">
        <v>2</v>
      </c>
      <c r="G370">
        <v>2998</v>
      </c>
      <c r="H370" t="s">
        <v>23</v>
      </c>
      <c r="I370" t="s">
        <v>24</v>
      </c>
      <c r="J370" t="s">
        <v>38</v>
      </c>
      <c r="K370" t="s">
        <v>18</v>
      </c>
    </row>
    <row r="371" spans="1:11">
      <c r="A371" t="s">
        <v>596</v>
      </c>
      <c r="B371" t="s">
        <v>215</v>
      </c>
      <c r="C371" t="s">
        <v>162</v>
      </c>
      <c r="D371" t="s">
        <v>29</v>
      </c>
      <c r="E371">
        <v>1799</v>
      </c>
      <c r="F371">
        <v>5</v>
      </c>
      <c r="G371">
        <v>8995</v>
      </c>
      <c r="H371" t="s">
        <v>102</v>
      </c>
      <c r="I371" t="s">
        <v>16</v>
      </c>
      <c r="J371" t="s">
        <v>25</v>
      </c>
      <c r="K371" t="s">
        <v>18</v>
      </c>
    </row>
    <row r="372" spans="1:11">
      <c r="A372" t="s">
        <v>597</v>
      </c>
      <c r="B372" t="s">
        <v>598</v>
      </c>
      <c r="C372" t="s">
        <v>80</v>
      </c>
      <c r="D372" t="s">
        <v>81</v>
      </c>
      <c r="E372">
        <v>299</v>
      </c>
      <c r="F372">
        <v>3</v>
      </c>
      <c r="G372">
        <v>897</v>
      </c>
      <c r="H372" t="s">
        <v>43</v>
      </c>
      <c r="I372" t="s">
        <v>16</v>
      </c>
      <c r="J372" t="s">
        <v>25</v>
      </c>
      <c r="K372" t="s">
        <v>18</v>
      </c>
    </row>
    <row r="373" spans="1:11">
      <c r="A373" t="s">
        <v>599</v>
      </c>
      <c r="B373" t="s">
        <v>600</v>
      </c>
      <c r="C373" t="s">
        <v>36</v>
      </c>
      <c r="D373" t="s">
        <v>29</v>
      </c>
      <c r="E373">
        <v>1999</v>
      </c>
      <c r="F373">
        <v>1</v>
      </c>
      <c r="G373">
        <v>1999</v>
      </c>
      <c r="H373" t="s">
        <v>71</v>
      </c>
      <c r="I373" t="s">
        <v>82</v>
      </c>
      <c r="J373" t="s">
        <v>25</v>
      </c>
      <c r="K373" t="s">
        <v>18</v>
      </c>
    </row>
    <row r="374" spans="1:11">
      <c r="A374" t="s">
        <v>601</v>
      </c>
      <c r="B374" t="s">
        <v>343</v>
      </c>
      <c r="C374" t="s">
        <v>52</v>
      </c>
      <c r="D374" t="s">
        <v>53</v>
      </c>
      <c r="E374">
        <v>199</v>
      </c>
      <c r="F374">
        <v>2</v>
      </c>
      <c r="G374">
        <v>398</v>
      </c>
      <c r="H374" t="s">
        <v>30</v>
      </c>
      <c r="I374" t="s">
        <v>16</v>
      </c>
      <c r="J374" t="s">
        <v>32</v>
      </c>
      <c r="K374" t="s">
        <v>45</v>
      </c>
    </row>
    <row r="375" spans="1:11">
      <c r="A375" t="s">
        <v>602</v>
      </c>
      <c r="B375" t="s">
        <v>145</v>
      </c>
      <c r="C375" t="s">
        <v>36</v>
      </c>
      <c r="D375" t="s">
        <v>29</v>
      </c>
      <c r="E375">
        <v>1999</v>
      </c>
      <c r="F375">
        <v>5</v>
      </c>
      <c r="G375">
        <v>9995</v>
      </c>
      <c r="H375" t="s">
        <v>43</v>
      </c>
      <c r="I375" t="s">
        <v>57</v>
      </c>
      <c r="J375" t="s">
        <v>32</v>
      </c>
      <c r="K375" t="s">
        <v>18</v>
      </c>
    </row>
    <row r="376" spans="1:11">
      <c r="A376" t="s">
        <v>603</v>
      </c>
      <c r="B376" t="s">
        <v>358</v>
      </c>
      <c r="C376" t="s">
        <v>87</v>
      </c>
      <c r="D376" t="s">
        <v>88</v>
      </c>
      <c r="E376">
        <v>5499</v>
      </c>
      <c r="F376">
        <v>1</v>
      </c>
      <c r="G376">
        <v>5499</v>
      </c>
      <c r="H376" t="s">
        <v>23</v>
      </c>
      <c r="I376" t="s">
        <v>82</v>
      </c>
      <c r="J376" t="s">
        <v>17</v>
      </c>
      <c r="K376" t="s">
        <v>18</v>
      </c>
    </row>
    <row r="377" spans="1:11">
      <c r="A377" t="s">
        <v>604</v>
      </c>
      <c r="B377" t="s">
        <v>210</v>
      </c>
      <c r="C377" t="s">
        <v>162</v>
      </c>
      <c r="D377" t="s">
        <v>29</v>
      </c>
      <c r="E377">
        <v>1799</v>
      </c>
      <c r="F377">
        <v>4</v>
      </c>
      <c r="G377">
        <v>7196</v>
      </c>
      <c r="H377" t="s">
        <v>102</v>
      </c>
      <c r="I377" t="s">
        <v>24</v>
      </c>
      <c r="J377" t="s">
        <v>25</v>
      </c>
      <c r="K377" t="s">
        <v>18</v>
      </c>
    </row>
    <row r="378" spans="1:11">
      <c r="A378" t="s">
        <v>605</v>
      </c>
      <c r="B378" t="s">
        <v>450</v>
      </c>
      <c r="C378" t="s">
        <v>21</v>
      </c>
      <c r="D378" t="s">
        <v>22</v>
      </c>
      <c r="E378">
        <v>1499</v>
      </c>
      <c r="F378">
        <v>2</v>
      </c>
      <c r="G378">
        <v>2998</v>
      </c>
      <c r="H378" t="s">
        <v>15</v>
      </c>
      <c r="I378" t="s">
        <v>82</v>
      </c>
      <c r="J378" t="s">
        <v>25</v>
      </c>
      <c r="K378" t="s">
        <v>33</v>
      </c>
    </row>
    <row r="379" spans="1:11">
      <c r="A379" t="s">
        <v>606</v>
      </c>
      <c r="B379" t="s">
        <v>316</v>
      </c>
      <c r="C379" t="s">
        <v>76</v>
      </c>
      <c r="D379" t="s">
        <v>49</v>
      </c>
      <c r="E379">
        <v>1599</v>
      </c>
      <c r="F379">
        <v>2</v>
      </c>
      <c r="G379">
        <v>3198</v>
      </c>
      <c r="H379" t="s">
        <v>71</v>
      </c>
      <c r="I379" t="s">
        <v>105</v>
      </c>
      <c r="J379" t="s">
        <v>32</v>
      </c>
      <c r="K379" t="s">
        <v>18</v>
      </c>
    </row>
    <row r="380" spans="1:11">
      <c r="A380" t="s">
        <v>607</v>
      </c>
      <c r="B380" t="s">
        <v>86</v>
      </c>
      <c r="C380" t="s">
        <v>80</v>
      </c>
      <c r="D380" t="s">
        <v>81</v>
      </c>
      <c r="E380">
        <v>299</v>
      </c>
      <c r="F380">
        <v>4</v>
      </c>
      <c r="G380">
        <v>1196</v>
      </c>
      <c r="H380" t="s">
        <v>102</v>
      </c>
      <c r="I380" t="s">
        <v>44</v>
      </c>
      <c r="J380" t="s">
        <v>17</v>
      </c>
      <c r="K380" t="s">
        <v>18</v>
      </c>
    </row>
    <row r="381" spans="1:11">
      <c r="A381" t="s">
        <v>608</v>
      </c>
      <c r="B381" t="s">
        <v>65</v>
      </c>
      <c r="C381" t="s">
        <v>101</v>
      </c>
      <c r="D381" t="s">
        <v>81</v>
      </c>
      <c r="E381">
        <v>499</v>
      </c>
      <c r="F381">
        <v>1</v>
      </c>
      <c r="G381">
        <v>499</v>
      </c>
      <c r="H381" t="s">
        <v>56</v>
      </c>
      <c r="I381" t="s">
        <v>16</v>
      </c>
      <c r="J381" t="s">
        <v>17</v>
      </c>
      <c r="K381" t="s">
        <v>18</v>
      </c>
    </row>
    <row r="382" spans="1:11">
      <c r="A382" t="s">
        <v>609</v>
      </c>
      <c r="B382" t="s">
        <v>250</v>
      </c>
      <c r="C382" t="s">
        <v>76</v>
      </c>
      <c r="D382" t="s">
        <v>49</v>
      </c>
      <c r="E382">
        <v>1599</v>
      </c>
      <c r="F382">
        <v>3</v>
      </c>
      <c r="G382">
        <v>4797</v>
      </c>
      <c r="H382" t="s">
        <v>56</v>
      </c>
      <c r="I382" t="s">
        <v>31</v>
      </c>
      <c r="J382" t="s">
        <v>17</v>
      </c>
      <c r="K382" t="s">
        <v>18</v>
      </c>
    </row>
    <row r="383" spans="1:11">
      <c r="A383" t="s">
        <v>610</v>
      </c>
      <c r="B383" t="s">
        <v>42</v>
      </c>
      <c r="C383" t="s">
        <v>80</v>
      </c>
      <c r="D383" t="s">
        <v>81</v>
      </c>
      <c r="E383">
        <v>299</v>
      </c>
      <c r="F383">
        <v>3</v>
      </c>
      <c r="G383">
        <v>897</v>
      </c>
      <c r="H383" t="s">
        <v>102</v>
      </c>
      <c r="I383" t="s">
        <v>82</v>
      </c>
      <c r="J383" t="s">
        <v>38</v>
      </c>
      <c r="K383" t="s">
        <v>18</v>
      </c>
    </row>
    <row r="384" spans="1:11">
      <c r="A384" t="s">
        <v>611</v>
      </c>
      <c r="B384" t="s">
        <v>75</v>
      </c>
      <c r="C384" t="s">
        <v>76</v>
      </c>
      <c r="D384" t="s">
        <v>49</v>
      </c>
      <c r="E384">
        <v>1599</v>
      </c>
      <c r="F384">
        <v>5</v>
      </c>
      <c r="G384">
        <v>7995</v>
      </c>
      <c r="H384" t="s">
        <v>37</v>
      </c>
      <c r="I384" t="s">
        <v>67</v>
      </c>
      <c r="J384" t="s">
        <v>32</v>
      </c>
      <c r="K384" t="s">
        <v>18</v>
      </c>
    </row>
    <row r="385" spans="1:11">
      <c r="A385" t="s">
        <v>612</v>
      </c>
      <c r="B385" t="s">
        <v>613</v>
      </c>
      <c r="C385" t="s">
        <v>135</v>
      </c>
      <c r="D385" t="s">
        <v>29</v>
      </c>
      <c r="E385">
        <v>3999</v>
      </c>
      <c r="F385">
        <v>5</v>
      </c>
      <c r="G385">
        <v>19995</v>
      </c>
      <c r="H385" t="s">
        <v>71</v>
      </c>
      <c r="I385" t="s">
        <v>57</v>
      </c>
      <c r="J385" t="s">
        <v>38</v>
      </c>
      <c r="K385" t="s">
        <v>18</v>
      </c>
    </row>
    <row r="386" spans="1:11">
      <c r="A386" t="s">
        <v>614</v>
      </c>
      <c r="B386" t="s">
        <v>379</v>
      </c>
      <c r="C386" t="s">
        <v>122</v>
      </c>
      <c r="D386" t="s">
        <v>29</v>
      </c>
      <c r="E386">
        <v>1299</v>
      </c>
      <c r="F386">
        <v>1</v>
      </c>
      <c r="G386">
        <v>1299</v>
      </c>
      <c r="H386" t="s">
        <v>37</v>
      </c>
      <c r="I386" t="s">
        <v>67</v>
      </c>
      <c r="J386" t="s">
        <v>38</v>
      </c>
      <c r="K386" t="s">
        <v>18</v>
      </c>
    </row>
    <row r="387" spans="1:11">
      <c r="A387" t="s">
        <v>615</v>
      </c>
      <c r="B387" t="s">
        <v>143</v>
      </c>
      <c r="C387" t="s">
        <v>13</v>
      </c>
      <c r="D387" t="s">
        <v>14</v>
      </c>
      <c r="E387">
        <v>2499</v>
      </c>
      <c r="F387">
        <v>3</v>
      </c>
      <c r="G387">
        <v>7497</v>
      </c>
      <c r="H387" t="s">
        <v>37</v>
      </c>
      <c r="I387" t="s">
        <v>82</v>
      </c>
      <c r="J387" t="s">
        <v>25</v>
      </c>
      <c r="K387" t="s">
        <v>45</v>
      </c>
    </row>
    <row r="388" spans="1:11">
      <c r="A388" t="s">
        <v>616</v>
      </c>
      <c r="B388" t="s">
        <v>260</v>
      </c>
      <c r="C388" t="s">
        <v>36</v>
      </c>
      <c r="D388" t="s">
        <v>29</v>
      </c>
      <c r="E388">
        <v>1999</v>
      </c>
      <c r="F388">
        <v>2</v>
      </c>
      <c r="G388">
        <v>3998</v>
      </c>
      <c r="H388" t="s">
        <v>66</v>
      </c>
      <c r="I388" t="s">
        <v>98</v>
      </c>
      <c r="J388" t="s">
        <v>25</v>
      </c>
      <c r="K388" t="s">
        <v>45</v>
      </c>
    </row>
    <row r="389" spans="1:11">
      <c r="A389" t="s">
        <v>617</v>
      </c>
      <c r="B389" t="s">
        <v>354</v>
      </c>
      <c r="C389" t="s">
        <v>162</v>
      </c>
      <c r="D389" t="s">
        <v>29</v>
      </c>
      <c r="E389">
        <v>1799</v>
      </c>
      <c r="F389">
        <v>1</v>
      </c>
      <c r="G389">
        <v>1799</v>
      </c>
      <c r="H389" t="s">
        <v>186</v>
      </c>
      <c r="I389" t="s">
        <v>63</v>
      </c>
      <c r="J389" t="s">
        <v>32</v>
      </c>
      <c r="K389" t="s">
        <v>18</v>
      </c>
    </row>
    <row r="390" spans="1:11">
      <c r="A390" t="s">
        <v>618</v>
      </c>
      <c r="B390" t="s">
        <v>389</v>
      </c>
      <c r="C390" t="s">
        <v>60</v>
      </c>
      <c r="D390" t="s">
        <v>61</v>
      </c>
      <c r="E390">
        <v>899</v>
      </c>
      <c r="F390">
        <v>5</v>
      </c>
      <c r="G390">
        <v>4495</v>
      </c>
      <c r="H390" t="s">
        <v>95</v>
      </c>
      <c r="I390" t="s">
        <v>24</v>
      </c>
      <c r="J390" t="s">
        <v>17</v>
      </c>
      <c r="K390" t="s">
        <v>18</v>
      </c>
    </row>
    <row r="391" spans="1:11">
      <c r="A391" t="s">
        <v>619</v>
      </c>
      <c r="B391" t="s">
        <v>111</v>
      </c>
      <c r="C391" t="s">
        <v>13</v>
      </c>
      <c r="D391" t="s">
        <v>14</v>
      </c>
      <c r="E391">
        <v>2499</v>
      </c>
      <c r="F391">
        <v>2</v>
      </c>
      <c r="G391">
        <v>4998</v>
      </c>
      <c r="H391" t="s">
        <v>30</v>
      </c>
      <c r="I391" t="s">
        <v>63</v>
      </c>
      <c r="J391" t="s">
        <v>25</v>
      </c>
      <c r="K391" t="s">
        <v>45</v>
      </c>
    </row>
    <row r="392" spans="1:11">
      <c r="A392" t="s">
        <v>620</v>
      </c>
      <c r="B392" t="s">
        <v>431</v>
      </c>
      <c r="C392" t="s">
        <v>52</v>
      </c>
      <c r="D392" t="s">
        <v>53</v>
      </c>
      <c r="E392">
        <v>199</v>
      </c>
      <c r="F392">
        <v>1</v>
      </c>
      <c r="G392">
        <v>199</v>
      </c>
      <c r="H392" t="s">
        <v>95</v>
      </c>
      <c r="I392" t="s">
        <v>31</v>
      </c>
      <c r="J392" t="s">
        <v>90</v>
      </c>
      <c r="K392" t="s">
        <v>18</v>
      </c>
    </row>
    <row r="393" spans="1:11">
      <c r="A393" t="s">
        <v>621</v>
      </c>
      <c r="B393" t="s">
        <v>389</v>
      </c>
      <c r="C393" t="s">
        <v>48</v>
      </c>
      <c r="D393" t="s">
        <v>49</v>
      </c>
      <c r="E393">
        <v>699</v>
      </c>
      <c r="F393">
        <v>4</v>
      </c>
      <c r="G393">
        <v>2796</v>
      </c>
      <c r="H393" t="s">
        <v>157</v>
      </c>
      <c r="I393" t="s">
        <v>98</v>
      </c>
      <c r="J393" t="s">
        <v>90</v>
      </c>
      <c r="K393" t="s">
        <v>18</v>
      </c>
    </row>
    <row r="394" spans="1:11">
      <c r="A394" t="s">
        <v>622</v>
      </c>
      <c r="B394" t="s">
        <v>159</v>
      </c>
      <c r="C394" t="s">
        <v>28</v>
      </c>
      <c r="D394" t="s">
        <v>29</v>
      </c>
      <c r="E394">
        <v>1299</v>
      </c>
      <c r="F394">
        <v>3</v>
      </c>
      <c r="G394">
        <v>3897</v>
      </c>
      <c r="H394" t="s">
        <v>157</v>
      </c>
      <c r="I394" t="s">
        <v>105</v>
      </c>
      <c r="J394" t="s">
        <v>17</v>
      </c>
      <c r="K394" t="s">
        <v>18</v>
      </c>
    </row>
    <row r="395" spans="1:11">
      <c r="A395" t="s">
        <v>623</v>
      </c>
      <c r="B395" t="s">
        <v>587</v>
      </c>
      <c r="C395" t="s">
        <v>21</v>
      </c>
      <c r="D395" t="s">
        <v>22</v>
      </c>
      <c r="E395">
        <v>1499</v>
      </c>
      <c r="F395">
        <v>3</v>
      </c>
      <c r="G395">
        <v>4497</v>
      </c>
      <c r="H395" t="s">
        <v>102</v>
      </c>
      <c r="I395" t="s">
        <v>105</v>
      </c>
      <c r="J395" t="s">
        <v>25</v>
      </c>
      <c r="K395" t="s">
        <v>45</v>
      </c>
    </row>
    <row r="396" spans="1:11">
      <c r="A396" t="s">
        <v>624</v>
      </c>
      <c r="B396" t="s">
        <v>189</v>
      </c>
      <c r="C396" t="s">
        <v>48</v>
      </c>
      <c r="D396" t="s">
        <v>49</v>
      </c>
      <c r="E396">
        <v>699</v>
      </c>
      <c r="F396">
        <v>5</v>
      </c>
      <c r="G396">
        <v>3495</v>
      </c>
      <c r="H396" t="s">
        <v>15</v>
      </c>
      <c r="I396" t="s">
        <v>24</v>
      </c>
      <c r="J396" t="s">
        <v>25</v>
      </c>
      <c r="K396" t="s">
        <v>18</v>
      </c>
    </row>
    <row r="397" spans="1:11">
      <c r="A397" t="s">
        <v>625</v>
      </c>
      <c r="B397" t="s">
        <v>143</v>
      </c>
      <c r="C397" t="s">
        <v>135</v>
      </c>
      <c r="D397" t="s">
        <v>29</v>
      </c>
      <c r="E397">
        <v>3999</v>
      </c>
      <c r="F397">
        <v>5</v>
      </c>
      <c r="G397">
        <v>19995</v>
      </c>
      <c r="H397" t="s">
        <v>95</v>
      </c>
      <c r="I397" t="s">
        <v>63</v>
      </c>
      <c r="J397" t="s">
        <v>17</v>
      </c>
      <c r="K397" t="s">
        <v>18</v>
      </c>
    </row>
    <row r="398" spans="1:11">
      <c r="A398" t="s">
        <v>626</v>
      </c>
      <c r="B398" t="s">
        <v>598</v>
      </c>
      <c r="C398" t="s">
        <v>28</v>
      </c>
      <c r="D398" t="s">
        <v>29</v>
      </c>
      <c r="E398">
        <v>1299</v>
      </c>
      <c r="F398">
        <v>2</v>
      </c>
      <c r="G398">
        <v>2598</v>
      </c>
      <c r="H398" t="s">
        <v>37</v>
      </c>
      <c r="I398" t="s">
        <v>67</v>
      </c>
      <c r="J398" t="s">
        <v>17</v>
      </c>
      <c r="K398" t="s">
        <v>18</v>
      </c>
    </row>
    <row r="399" spans="1:11">
      <c r="A399" t="s">
        <v>627</v>
      </c>
      <c r="B399" t="s">
        <v>210</v>
      </c>
      <c r="C399" t="s">
        <v>101</v>
      </c>
      <c r="D399" t="s">
        <v>81</v>
      </c>
      <c r="E399">
        <v>499</v>
      </c>
      <c r="F399">
        <v>2</v>
      </c>
      <c r="G399">
        <v>998</v>
      </c>
      <c r="H399" t="s">
        <v>62</v>
      </c>
      <c r="I399" t="s">
        <v>125</v>
      </c>
      <c r="J399" t="s">
        <v>25</v>
      </c>
      <c r="K399" t="s">
        <v>18</v>
      </c>
    </row>
    <row r="400" spans="1:11">
      <c r="A400" t="s">
        <v>628</v>
      </c>
      <c r="B400" t="s">
        <v>517</v>
      </c>
      <c r="C400" t="s">
        <v>76</v>
      </c>
      <c r="D400" t="s">
        <v>49</v>
      </c>
      <c r="E400">
        <v>1599</v>
      </c>
      <c r="F400">
        <v>4</v>
      </c>
      <c r="G400">
        <v>6396</v>
      </c>
      <c r="H400" t="s">
        <v>37</v>
      </c>
      <c r="I400" t="s">
        <v>77</v>
      </c>
      <c r="J400" t="s">
        <v>90</v>
      </c>
      <c r="K400" t="s">
        <v>18</v>
      </c>
    </row>
    <row r="401" spans="1:11">
      <c r="A401" t="s">
        <v>629</v>
      </c>
      <c r="B401" t="s">
        <v>630</v>
      </c>
      <c r="C401" t="s">
        <v>101</v>
      </c>
      <c r="D401" t="s">
        <v>81</v>
      </c>
      <c r="E401">
        <v>499</v>
      </c>
      <c r="F401">
        <v>4</v>
      </c>
      <c r="G401">
        <v>1996</v>
      </c>
      <c r="H401" t="s">
        <v>23</v>
      </c>
      <c r="I401" t="s">
        <v>31</v>
      </c>
      <c r="J401" t="s">
        <v>32</v>
      </c>
      <c r="K401" t="s">
        <v>33</v>
      </c>
    </row>
    <row r="402" spans="1:11">
      <c r="A402" t="s">
        <v>631</v>
      </c>
      <c r="B402" t="s">
        <v>47</v>
      </c>
      <c r="C402" t="s">
        <v>70</v>
      </c>
      <c r="D402" t="s">
        <v>29</v>
      </c>
      <c r="E402">
        <v>799</v>
      </c>
      <c r="F402">
        <v>3</v>
      </c>
      <c r="G402">
        <v>2397</v>
      </c>
      <c r="H402" t="s">
        <v>89</v>
      </c>
      <c r="I402" t="s">
        <v>125</v>
      </c>
      <c r="J402" t="s">
        <v>90</v>
      </c>
      <c r="K402" t="s">
        <v>18</v>
      </c>
    </row>
    <row r="403" spans="1:11">
      <c r="A403" t="s">
        <v>632</v>
      </c>
      <c r="B403" t="s">
        <v>633</v>
      </c>
      <c r="C403" t="s">
        <v>52</v>
      </c>
      <c r="D403" t="s">
        <v>53</v>
      </c>
      <c r="E403">
        <v>199</v>
      </c>
      <c r="F403">
        <v>1</v>
      </c>
      <c r="G403">
        <v>199</v>
      </c>
      <c r="H403" t="s">
        <v>102</v>
      </c>
      <c r="I403" t="s">
        <v>67</v>
      </c>
      <c r="J403" t="s">
        <v>17</v>
      </c>
      <c r="K403" t="s">
        <v>18</v>
      </c>
    </row>
    <row r="404" spans="1:11">
      <c r="A404" t="s">
        <v>634</v>
      </c>
      <c r="B404" t="s">
        <v>633</v>
      </c>
      <c r="C404" t="s">
        <v>36</v>
      </c>
      <c r="D404" t="s">
        <v>29</v>
      </c>
      <c r="E404">
        <v>1999</v>
      </c>
      <c r="F404">
        <v>3</v>
      </c>
      <c r="G404">
        <v>5997</v>
      </c>
      <c r="H404" t="s">
        <v>43</v>
      </c>
      <c r="I404" t="s">
        <v>105</v>
      </c>
      <c r="J404" t="s">
        <v>90</v>
      </c>
      <c r="K404" t="s">
        <v>18</v>
      </c>
    </row>
    <row r="405" spans="1:11">
      <c r="A405" t="s">
        <v>635</v>
      </c>
      <c r="B405" t="s">
        <v>379</v>
      </c>
      <c r="C405" t="s">
        <v>80</v>
      </c>
      <c r="D405" t="s">
        <v>81</v>
      </c>
      <c r="E405">
        <v>299</v>
      </c>
      <c r="F405">
        <v>2</v>
      </c>
      <c r="G405">
        <v>598</v>
      </c>
      <c r="H405" t="s">
        <v>89</v>
      </c>
      <c r="I405" t="s">
        <v>125</v>
      </c>
      <c r="J405" t="s">
        <v>32</v>
      </c>
      <c r="K405" t="s">
        <v>18</v>
      </c>
    </row>
    <row r="406" spans="1:11">
      <c r="A406" t="s">
        <v>636</v>
      </c>
      <c r="B406" t="s">
        <v>250</v>
      </c>
      <c r="C406" t="s">
        <v>28</v>
      </c>
      <c r="D406" t="s">
        <v>29</v>
      </c>
      <c r="E406">
        <v>1299</v>
      </c>
      <c r="F406">
        <v>5</v>
      </c>
      <c r="G406">
        <v>6495</v>
      </c>
      <c r="H406" t="s">
        <v>56</v>
      </c>
      <c r="I406" t="s">
        <v>105</v>
      </c>
      <c r="J406" t="s">
        <v>25</v>
      </c>
      <c r="K406" t="s">
        <v>33</v>
      </c>
    </row>
    <row r="407" spans="1:11">
      <c r="A407" t="s">
        <v>637</v>
      </c>
      <c r="B407" t="s">
        <v>269</v>
      </c>
      <c r="C407" t="s">
        <v>122</v>
      </c>
      <c r="D407" t="s">
        <v>29</v>
      </c>
      <c r="E407">
        <v>1299</v>
      </c>
      <c r="F407">
        <v>1</v>
      </c>
      <c r="G407">
        <v>1299</v>
      </c>
      <c r="H407" t="s">
        <v>30</v>
      </c>
      <c r="I407" t="s">
        <v>63</v>
      </c>
      <c r="J407" t="s">
        <v>17</v>
      </c>
      <c r="K407" t="s">
        <v>33</v>
      </c>
    </row>
    <row r="408" spans="1:11">
      <c r="A408" t="s">
        <v>638</v>
      </c>
      <c r="B408" t="s">
        <v>423</v>
      </c>
      <c r="C408" t="s">
        <v>135</v>
      </c>
      <c r="D408" t="s">
        <v>29</v>
      </c>
      <c r="E408">
        <v>3999</v>
      </c>
      <c r="F408">
        <v>2</v>
      </c>
      <c r="G408">
        <v>7998</v>
      </c>
      <c r="H408" t="s">
        <v>119</v>
      </c>
      <c r="I408" t="s">
        <v>98</v>
      </c>
      <c r="J408" t="s">
        <v>17</v>
      </c>
      <c r="K408" t="s">
        <v>18</v>
      </c>
    </row>
    <row r="409" spans="1:11">
      <c r="A409" t="s">
        <v>639</v>
      </c>
      <c r="B409" t="s">
        <v>640</v>
      </c>
      <c r="C409" t="s">
        <v>76</v>
      </c>
      <c r="D409" t="s">
        <v>49</v>
      </c>
      <c r="E409">
        <v>1599</v>
      </c>
      <c r="F409">
        <v>5</v>
      </c>
      <c r="G409">
        <v>7995</v>
      </c>
      <c r="H409" t="s">
        <v>71</v>
      </c>
      <c r="I409" t="s">
        <v>44</v>
      </c>
      <c r="J409" t="s">
        <v>17</v>
      </c>
      <c r="K409" t="s">
        <v>18</v>
      </c>
    </row>
    <row r="410" spans="1:11">
      <c r="A410" t="s">
        <v>641</v>
      </c>
      <c r="B410" t="s">
        <v>303</v>
      </c>
      <c r="C410" t="s">
        <v>52</v>
      </c>
      <c r="D410" t="s">
        <v>53</v>
      </c>
      <c r="E410">
        <v>199</v>
      </c>
      <c r="F410">
        <v>3</v>
      </c>
      <c r="G410">
        <v>597</v>
      </c>
      <c r="H410" t="s">
        <v>43</v>
      </c>
      <c r="I410" t="s">
        <v>63</v>
      </c>
      <c r="J410" t="s">
        <v>38</v>
      </c>
      <c r="K410" t="s">
        <v>33</v>
      </c>
    </row>
    <row r="411" spans="1:11">
      <c r="A411" t="s">
        <v>642</v>
      </c>
      <c r="B411" t="s">
        <v>381</v>
      </c>
      <c r="C411" t="s">
        <v>28</v>
      </c>
      <c r="D411" t="s">
        <v>29</v>
      </c>
      <c r="E411">
        <v>1299</v>
      </c>
      <c r="F411">
        <v>5</v>
      </c>
      <c r="G411">
        <v>6495</v>
      </c>
      <c r="H411" t="s">
        <v>186</v>
      </c>
      <c r="I411" t="s">
        <v>67</v>
      </c>
      <c r="J411" t="s">
        <v>25</v>
      </c>
      <c r="K411" t="s">
        <v>45</v>
      </c>
    </row>
    <row r="412" spans="1:11">
      <c r="A412" t="s">
        <v>643</v>
      </c>
      <c r="B412" t="s">
        <v>272</v>
      </c>
      <c r="C412" t="s">
        <v>135</v>
      </c>
      <c r="D412" t="s">
        <v>29</v>
      </c>
      <c r="E412">
        <v>3999</v>
      </c>
      <c r="F412">
        <v>2</v>
      </c>
      <c r="G412">
        <v>7998</v>
      </c>
      <c r="H412" t="s">
        <v>37</v>
      </c>
      <c r="I412" t="s">
        <v>77</v>
      </c>
      <c r="J412" t="s">
        <v>32</v>
      </c>
      <c r="K412" t="s">
        <v>18</v>
      </c>
    </row>
    <row r="413" spans="1:11">
      <c r="A413" t="s">
        <v>644</v>
      </c>
      <c r="B413" t="s">
        <v>408</v>
      </c>
      <c r="C413" t="s">
        <v>52</v>
      </c>
      <c r="D413" t="s">
        <v>53</v>
      </c>
      <c r="E413">
        <v>199</v>
      </c>
      <c r="F413">
        <v>4</v>
      </c>
      <c r="G413">
        <v>796</v>
      </c>
      <c r="H413" t="s">
        <v>43</v>
      </c>
      <c r="I413" t="s">
        <v>98</v>
      </c>
      <c r="J413" t="s">
        <v>32</v>
      </c>
      <c r="K413" t="s">
        <v>18</v>
      </c>
    </row>
    <row r="414" spans="1:11">
      <c r="A414" t="s">
        <v>645</v>
      </c>
      <c r="B414" t="s">
        <v>281</v>
      </c>
      <c r="C414" t="s">
        <v>76</v>
      </c>
      <c r="D414" t="s">
        <v>49</v>
      </c>
      <c r="E414">
        <v>1599</v>
      </c>
      <c r="F414">
        <v>5</v>
      </c>
      <c r="G414">
        <v>7995</v>
      </c>
      <c r="H414" t="s">
        <v>95</v>
      </c>
      <c r="I414" t="s">
        <v>16</v>
      </c>
      <c r="J414" t="s">
        <v>90</v>
      </c>
      <c r="K414" t="s">
        <v>33</v>
      </c>
    </row>
    <row r="415" spans="1:11">
      <c r="A415" t="s">
        <v>646</v>
      </c>
      <c r="B415" t="s">
        <v>402</v>
      </c>
      <c r="C415" t="s">
        <v>13</v>
      </c>
      <c r="D415" t="s">
        <v>14</v>
      </c>
      <c r="E415">
        <v>2499</v>
      </c>
      <c r="F415">
        <v>3</v>
      </c>
      <c r="G415">
        <v>7497</v>
      </c>
      <c r="H415" t="s">
        <v>66</v>
      </c>
      <c r="I415" t="s">
        <v>67</v>
      </c>
      <c r="J415" t="s">
        <v>32</v>
      </c>
      <c r="K415" t="s">
        <v>18</v>
      </c>
    </row>
    <row r="416" spans="1:11">
      <c r="A416" t="s">
        <v>647</v>
      </c>
      <c r="B416" t="s">
        <v>457</v>
      </c>
      <c r="C416" t="s">
        <v>60</v>
      </c>
      <c r="D416" t="s">
        <v>61</v>
      </c>
      <c r="E416">
        <v>899</v>
      </c>
      <c r="F416">
        <v>1</v>
      </c>
      <c r="G416">
        <v>899</v>
      </c>
      <c r="H416" t="s">
        <v>95</v>
      </c>
      <c r="I416" t="s">
        <v>44</v>
      </c>
      <c r="J416" t="s">
        <v>32</v>
      </c>
      <c r="K416" t="s">
        <v>33</v>
      </c>
    </row>
    <row r="417" spans="1:11">
      <c r="A417" t="s">
        <v>648</v>
      </c>
      <c r="B417" t="s">
        <v>207</v>
      </c>
      <c r="C417" t="s">
        <v>87</v>
      </c>
      <c r="D417" t="s">
        <v>88</v>
      </c>
      <c r="E417">
        <v>5499</v>
      </c>
      <c r="F417">
        <v>3</v>
      </c>
      <c r="G417">
        <v>16497</v>
      </c>
      <c r="H417" t="s">
        <v>119</v>
      </c>
      <c r="I417" t="s">
        <v>24</v>
      </c>
      <c r="J417" t="s">
        <v>38</v>
      </c>
      <c r="K417" t="s">
        <v>45</v>
      </c>
    </row>
    <row r="418" spans="1:11">
      <c r="A418" t="s">
        <v>649</v>
      </c>
      <c r="B418" t="s">
        <v>512</v>
      </c>
      <c r="C418" t="s">
        <v>48</v>
      </c>
      <c r="D418" t="s">
        <v>49</v>
      </c>
      <c r="E418">
        <v>699</v>
      </c>
      <c r="F418">
        <v>3</v>
      </c>
      <c r="G418">
        <v>2097</v>
      </c>
      <c r="H418" t="s">
        <v>102</v>
      </c>
      <c r="I418" t="s">
        <v>57</v>
      </c>
      <c r="J418" t="s">
        <v>25</v>
      </c>
      <c r="K418" t="s">
        <v>45</v>
      </c>
    </row>
    <row r="419" spans="1:11">
      <c r="A419" t="s">
        <v>650</v>
      </c>
      <c r="B419" t="s">
        <v>281</v>
      </c>
      <c r="C419" t="s">
        <v>52</v>
      </c>
      <c r="D419" t="s">
        <v>53</v>
      </c>
      <c r="E419">
        <v>199</v>
      </c>
      <c r="F419">
        <v>2</v>
      </c>
      <c r="G419">
        <v>398</v>
      </c>
      <c r="H419" t="s">
        <v>56</v>
      </c>
      <c r="I419" t="s">
        <v>63</v>
      </c>
      <c r="J419" t="s">
        <v>17</v>
      </c>
      <c r="K419" t="s">
        <v>45</v>
      </c>
    </row>
    <row r="420" spans="1:11">
      <c r="A420" t="s">
        <v>651</v>
      </c>
      <c r="B420" t="s">
        <v>215</v>
      </c>
      <c r="C420" t="s">
        <v>80</v>
      </c>
      <c r="D420" t="s">
        <v>81</v>
      </c>
      <c r="E420">
        <v>299</v>
      </c>
      <c r="F420">
        <v>4</v>
      </c>
      <c r="G420">
        <v>1196</v>
      </c>
      <c r="H420" t="s">
        <v>95</v>
      </c>
      <c r="I420" t="s">
        <v>98</v>
      </c>
      <c r="J420" t="s">
        <v>17</v>
      </c>
      <c r="K420" t="s">
        <v>18</v>
      </c>
    </row>
    <row r="421" spans="1:11">
      <c r="A421" t="s">
        <v>652</v>
      </c>
      <c r="B421" t="s">
        <v>92</v>
      </c>
      <c r="C421" t="s">
        <v>60</v>
      </c>
      <c r="D421" t="s">
        <v>61</v>
      </c>
      <c r="E421">
        <v>899</v>
      </c>
      <c r="F421">
        <v>4</v>
      </c>
      <c r="G421">
        <v>3596</v>
      </c>
      <c r="H421" t="s">
        <v>37</v>
      </c>
      <c r="I421" t="s">
        <v>57</v>
      </c>
      <c r="J421" t="s">
        <v>25</v>
      </c>
      <c r="K421" t="s">
        <v>18</v>
      </c>
    </row>
    <row r="422" spans="1:11">
      <c r="A422" t="s">
        <v>653</v>
      </c>
      <c r="B422" t="s">
        <v>598</v>
      </c>
      <c r="C422" t="s">
        <v>70</v>
      </c>
      <c r="D422" t="s">
        <v>29</v>
      </c>
      <c r="E422">
        <v>799</v>
      </c>
      <c r="F422">
        <v>4</v>
      </c>
      <c r="G422">
        <v>3196</v>
      </c>
      <c r="H422" t="s">
        <v>37</v>
      </c>
      <c r="I422" t="s">
        <v>63</v>
      </c>
      <c r="J422" t="s">
        <v>90</v>
      </c>
      <c r="K422" t="s">
        <v>18</v>
      </c>
    </row>
    <row r="423" spans="1:11">
      <c r="A423" t="s">
        <v>654</v>
      </c>
      <c r="B423" t="s">
        <v>546</v>
      </c>
      <c r="C423" t="s">
        <v>80</v>
      </c>
      <c r="D423" t="s">
        <v>81</v>
      </c>
      <c r="E423">
        <v>299</v>
      </c>
      <c r="F423">
        <v>1</v>
      </c>
      <c r="G423">
        <v>299</v>
      </c>
      <c r="H423" t="s">
        <v>89</v>
      </c>
      <c r="I423" t="s">
        <v>31</v>
      </c>
      <c r="J423" t="s">
        <v>32</v>
      </c>
      <c r="K423" t="s">
        <v>18</v>
      </c>
    </row>
    <row r="424" spans="1:11">
      <c r="A424" t="s">
        <v>655</v>
      </c>
      <c r="B424" t="s">
        <v>185</v>
      </c>
      <c r="C424" t="s">
        <v>101</v>
      </c>
      <c r="D424" t="s">
        <v>81</v>
      </c>
      <c r="E424">
        <v>499</v>
      </c>
      <c r="F424">
        <v>1</v>
      </c>
      <c r="G424">
        <v>499</v>
      </c>
      <c r="H424" t="s">
        <v>186</v>
      </c>
      <c r="I424" t="s">
        <v>44</v>
      </c>
      <c r="J424" t="s">
        <v>25</v>
      </c>
      <c r="K424" t="s">
        <v>45</v>
      </c>
    </row>
    <row r="425" spans="1:11">
      <c r="A425" t="s">
        <v>656</v>
      </c>
      <c r="B425" t="s">
        <v>657</v>
      </c>
      <c r="C425" t="s">
        <v>70</v>
      </c>
      <c r="D425" t="s">
        <v>29</v>
      </c>
      <c r="E425">
        <v>799</v>
      </c>
      <c r="F425">
        <v>1</v>
      </c>
      <c r="G425">
        <v>799</v>
      </c>
      <c r="H425" t="s">
        <v>186</v>
      </c>
      <c r="I425" t="s">
        <v>105</v>
      </c>
      <c r="J425" t="s">
        <v>38</v>
      </c>
      <c r="K425" t="s">
        <v>18</v>
      </c>
    </row>
    <row r="426" spans="1:11">
      <c r="A426" t="s">
        <v>658</v>
      </c>
      <c r="B426" t="s">
        <v>12</v>
      </c>
      <c r="C426" t="s">
        <v>36</v>
      </c>
      <c r="D426" t="s">
        <v>29</v>
      </c>
      <c r="E426">
        <v>1999</v>
      </c>
      <c r="F426">
        <v>4</v>
      </c>
      <c r="G426">
        <v>7996</v>
      </c>
      <c r="H426" t="s">
        <v>66</v>
      </c>
      <c r="I426" t="s">
        <v>67</v>
      </c>
      <c r="J426" t="s">
        <v>38</v>
      </c>
      <c r="K426" t="s">
        <v>18</v>
      </c>
    </row>
    <row r="427" spans="1:11">
      <c r="A427" t="s">
        <v>659</v>
      </c>
      <c r="B427" t="s">
        <v>109</v>
      </c>
      <c r="C427" t="s">
        <v>70</v>
      </c>
      <c r="D427" t="s">
        <v>29</v>
      </c>
      <c r="E427">
        <v>799</v>
      </c>
      <c r="F427">
        <v>3</v>
      </c>
      <c r="G427">
        <v>2397</v>
      </c>
      <c r="H427" t="s">
        <v>157</v>
      </c>
      <c r="I427" t="s">
        <v>125</v>
      </c>
      <c r="J427" t="s">
        <v>17</v>
      </c>
      <c r="K427" t="s">
        <v>18</v>
      </c>
    </row>
    <row r="428" spans="1:11">
      <c r="A428" t="s">
        <v>660</v>
      </c>
      <c r="B428" t="s">
        <v>137</v>
      </c>
      <c r="C428" t="s">
        <v>162</v>
      </c>
      <c r="D428" t="s">
        <v>29</v>
      </c>
      <c r="E428">
        <v>1799</v>
      </c>
      <c r="F428">
        <v>3</v>
      </c>
      <c r="G428">
        <v>5397</v>
      </c>
      <c r="H428" t="s">
        <v>15</v>
      </c>
      <c r="I428" t="s">
        <v>82</v>
      </c>
      <c r="J428" t="s">
        <v>38</v>
      </c>
      <c r="K428" t="s">
        <v>18</v>
      </c>
    </row>
    <row r="429" spans="1:11">
      <c r="A429" t="s">
        <v>661</v>
      </c>
      <c r="B429" t="s">
        <v>662</v>
      </c>
      <c r="C429" t="s">
        <v>80</v>
      </c>
      <c r="D429" t="s">
        <v>81</v>
      </c>
      <c r="E429">
        <v>299</v>
      </c>
      <c r="F429">
        <v>1</v>
      </c>
      <c r="G429">
        <v>299</v>
      </c>
      <c r="H429" t="s">
        <v>102</v>
      </c>
      <c r="I429" t="s">
        <v>44</v>
      </c>
      <c r="J429" t="s">
        <v>25</v>
      </c>
      <c r="K429" t="s">
        <v>18</v>
      </c>
    </row>
    <row r="430" spans="1:11">
      <c r="A430" t="s">
        <v>663</v>
      </c>
      <c r="B430" t="s">
        <v>40</v>
      </c>
      <c r="C430" t="s">
        <v>76</v>
      </c>
      <c r="D430" t="s">
        <v>49</v>
      </c>
      <c r="E430">
        <v>1599</v>
      </c>
      <c r="F430">
        <v>1</v>
      </c>
      <c r="G430">
        <v>1599</v>
      </c>
      <c r="H430" t="s">
        <v>30</v>
      </c>
      <c r="I430" t="s">
        <v>57</v>
      </c>
      <c r="J430" t="s">
        <v>38</v>
      </c>
      <c r="K430" t="s">
        <v>18</v>
      </c>
    </row>
    <row r="431" spans="1:11">
      <c r="A431" t="s">
        <v>664</v>
      </c>
      <c r="B431" t="s">
        <v>121</v>
      </c>
      <c r="C431" t="s">
        <v>87</v>
      </c>
      <c r="D431" t="s">
        <v>88</v>
      </c>
      <c r="E431">
        <v>5499</v>
      </c>
      <c r="F431">
        <v>2</v>
      </c>
      <c r="G431">
        <v>10998</v>
      </c>
      <c r="H431" t="s">
        <v>186</v>
      </c>
      <c r="I431" t="s">
        <v>44</v>
      </c>
      <c r="J431" t="s">
        <v>90</v>
      </c>
      <c r="K431" t="s">
        <v>45</v>
      </c>
    </row>
    <row r="432" spans="1:11">
      <c r="A432" t="s">
        <v>665</v>
      </c>
      <c r="B432" t="s">
        <v>116</v>
      </c>
      <c r="C432" t="s">
        <v>87</v>
      </c>
      <c r="D432" t="s">
        <v>88</v>
      </c>
      <c r="E432">
        <v>5499</v>
      </c>
      <c r="F432">
        <v>2</v>
      </c>
      <c r="G432">
        <v>10998</v>
      </c>
      <c r="H432" t="s">
        <v>186</v>
      </c>
      <c r="I432" t="s">
        <v>57</v>
      </c>
      <c r="J432" t="s">
        <v>32</v>
      </c>
      <c r="K432" t="s">
        <v>18</v>
      </c>
    </row>
    <row r="433" spans="1:11">
      <c r="A433" t="s">
        <v>666</v>
      </c>
      <c r="B433" t="s">
        <v>97</v>
      </c>
      <c r="C433" t="s">
        <v>122</v>
      </c>
      <c r="D433" t="s">
        <v>29</v>
      </c>
      <c r="E433">
        <v>1299</v>
      </c>
      <c r="F433">
        <v>1</v>
      </c>
      <c r="G433">
        <v>1299</v>
      </c>
      <c r="H433" t="s">
        <v>71</v>
      </c>
      <c r="I433" t="s">
        <v>16</v>
      </c>
      <c r="J433" t="s">
        <v>90</v>
      </c>
      <c r="K433" t="s">
        <v>45</v>
      </c>
    </row>
    <row r="434" spans="1:11">
      <c r="A434" t="s">
        <v>667</v>
      </c>
      <c r="B434" t="s">
        <v>325</v>
      </c>
      <c r="C434" t="s">
        <v>13</v>
      </c>
      <c r="D434" t="s">
        <v>14</v>
      </c>
      <c r="E434">
        <v>2499</v>
      </c>
      <c r="F434">
        <v>2</v>
      </c>
      <c r="G434">
        <v>4998</v>
      </c>
      <c r="H434" t="s">
        <v>157</v>
      </c>
      <c r="I434" t="s">
        <v>44</v>
      </c>
      <c r="J434" t="s">
        <v>90</v>
      </c>
      <c r="K434" t="s">
        <v>18</v>
      </c>
    </row>
    <row r="435" spans="1:11">
      <c r="A435" t="s">
        <v>668</v>
      </c>
      <c r="B435" t="s">
        <v>177</v>
      </c>
      <c r="C435" t="s">
        <v>21</v>
      </c>
      <c r="D435" t="s">
        <v>22</v>
      </c>
      <c r="E435">
        <v>1499</v>
      </c>
      <c r="F435">
        <v>3</v>
      </c>
      <c r="G435">
        <v>4497</v>
      </c>
      <c r="H435" t="s">
        <v>66</v>
      </c>
      <c r="I435" t="s">
        <v>57</v>
      </c>
      <c r="J435" t="s">
        <v>25</v>
      </c>
      <c r="K435" t="s">
        <v>18</v>
      </c>
    </row>
    <row r="436" spans="1:11">
      <c r="A436" t="s">
        <v>669</v>
      </c>
      <c r="B436" t="s">
        <v>408</v>
      </c>
      <c r="C436" t="s">
        <v>122</v>
      </c>
      <c r="D436" t="s">
        <v>29</v>
      </c>
      <c r="E436">
        <v>1299</v>
      </c>
      <c r="F436">
        <v>2</v>
      </c>
      <c r="G436">
        <v>2598</v>
      </c>
      <c r="H436" t="s">
        <v>30</v>
      </c>
      <c r="I436" t="s">
        <v>31</v>
      </c>
      <c r="J436" t="s">
        <v>25</v>
      </c>
      <c r="K436" t="s">
        <v>45</v>
      </c>
    </row>
    <row r="437" spans="1:11">
      <c r="A437" t="s">
        <v>670</v>
      </c>
      <c r="B437" t="s">
        <v>59</v>
      </c>
      <c r="C437" t="s">
        <v>122</v>
      </c>
      <c r="D437" t="s">
        <v>29</v>
      </c>
      <c r="E437">
        <v>1299</v>
      </c>
      <c r="F437">
        <v>3</v>
      </c>
      <c r="G437">
        <v>3897</v>
      </c>
      <c r="H437" t="s">
        <v>119</v>
      </c>
      <c r="I437" t="s">
        <v>67</v>
      </c>
      <c r="J437" t="s">
        <v>90</v>
      </c>
      <c r="K437" t="s">
        <v>33</v>
      </c>
    </row>
    <row r="438" spans="1:11">
      <c r="A438" t="s">
        <v>671</v>
      </c>
      <c r="B438" t="s">
        <v>303</v>
      </c>
      <c r="C438" t="s">
        <v>13</v>
      </c>
      <c r="D438" t="s">
        <v>14</v>
      </c>
      <c r="E438">
        <v>2499</v>
      </c>
      <c r="F438">
        <v>3</v>
      </c>
      <c r="G438">
        <v>7497</v>
      </c>
      <c r="H438" t="s">
        <v>30</v>
      </c>
      <c r="I438" t="s">
        <v>105</v>
      </c>
      <c r="J438" t="s">
        <v>17</v>
      </c>
      <c r="K438" t="s">
        <v>45</v>
      </c>
    </row>
    <row r="439" spans="1:11">
      <c r="A439" t="s">
        <v>672</v>
      </c>
      <c r="B439" t="s">
        <v>257</v>
      </c>
      <c r="C439" t="s">
        <v>48</v>
      </c>
      <c r="D439" t="s">
        <v>49</v>
      </c>
      <c r="E439">
        <v>699</v>
      </c>
      <c r="F439">
        <v>4</v>
      </c>
      <c r="G439">
        <v>2796</v>
      </c>
      <c r="H439" t="s">
        <v>15</v>
      </c>
      <c r="I439" t="s">
        <v>31</v>
      </c>
      <c r="J439" t="s">
        <v>25</v>
      </c>
      <c r="K439" t="s">
        <v>18</v>
      </c>
    </row>
    <row r="440" spans="1:11">
      <c r="A440" t="s">
        <v>673</v>
      </c>
      <c r="B440" t="s">
        <v>325</v>
      </c>
      <c r="C440" t="s">
        <v>162</v>
      </c>
      <c r="D440" t="s">
        <v>29</v>
      </c>
      <c r="E440">
        <v>1799</v>
      </c>
      <c r="F440">
        <v>1</v>
      </c>
      <c r="G440">
        <v>1799</v>
      </c>
      <c r="H440" t="s">
        <v>119</v>
      </c>
      <c r="I440" t="s">
        <v>57</v>
      </c>
      <c r="J440" t="s">
        <v>17</v>
      </c>
      <c r="K440" t="s">
        <v>18</v>
      </c>
    </row>
    <row r="441" spans="1:11">
      <c r="A441" t="s">
        <v>674</v>
      </c>
      <c r="B441" t="s">
        <v>675</v>
      </c>
      <c r="C441" t="s">
        <v>48</v>
      </c>
      <c r="D441" t="s">
        <v>49</v>
      </c>
      <c r="E441">
        <v>699</v>
      </c>
      <c r="F441">
        <v>3</v>
      </c>
      <c r="G441">
        <v>2097</v>
      </c>
      <c r="H441" t="s">
        <v>119</v>
      </c>
      <c r="I441" t="s">
        <v>44</v>
      </c>
      <c r="J441" t="s">
        <v>25</v>
      </c>
      <c r="K441" t="s">
        <v>18</v>
      </c>
    </row>
    <row r="442" spans="1:11">
      <c r="A442" t="s">
        <v>676</v>
      </c>
      <c r="B442" t="s">
        <v>175</v>
      </c>
      <c r="C442" t="s">
        <v>135</v>
      </c>
      <c r="D442" t="s">
        <v>29</v>
      </c>
      <c r="E442">
        <v>3999</v>
      </c>
      <c r="F442">
        <v>5</v>
      </c>
      <c r="G442">
        <v>19995</v>
      </c>
      <c r="H442" t="s">
        <v>62</v>
      </c>
      <c r="I442" t="s">
        <v>105</v>
      </c>
      <c r="J442" t="s">
        <v>25</v>
      </c>
      <c r="K442" t="s">
        <v>18</v>
      </c>
    </row>
    <row r="443" spans="1:11">
      <c r="A443" t="s">
        <v>677</v>
      </c>
      <c r="B443" t="s">
        <v>657</v>
      </c>
      <c r="C443" t="s">
        <v>80</v>
      </c>
      <c r="D443" t="s">
        <v>81</v>
      </c>
      <c r="E443">
        <v>299</v>
      </c>
      <c r="F443">
        <v>1</v>
      </c>
      <c r="G443">
        <v>299</v>
      </c>
      <c r="H443" t="s">
        <v>56</v>
      </c>
      <c r="I443" t="s">
        <v>98</v>
      </c>
      <c r="J443" t="s">
        <v>17</v>
      </c>
      <c r="K443" t="s">
        <v>45</v>
      </c>
    </row>
    <row r="444" spans="1:11">
      <c r="A444" t="s">
        <v>678</v>
      </c>
      <c r="B444" t="s">
        <v>227</v>
      </c>
      <c r="C444" t="s">
        <v>122</v>
      </c>
      <c r="D444" t="s">
        <v>29</v>
      </c>
      <c r="E444">
        <v>1299</v>
      </c>
      <c r="F444">
        <v>5</v>
      </c>
      <c r="G444">
        <v>6495</v>
      </c>
      <c r="H444" t="s">
        <v>37</v>
      </c>
      <c r="I444" t="s">
        <v>67</v>
      </c>
      <c r="J444" t="s">
        <v>17</v>
      </c>
      <c r="K444" t="s">
        <v>18</v>
      </c>
    </row>
    <row r="445" spans="1:11">
      <c r="A445" t="s">
        <v>679</v>
      </c>
      <c r="B445" t="s">
        <v>227</v>
      </c>
      <c r="C445" t="s">
        <v>21</v>
      </c>
      <c r="D445" t="s">
        <v>22</v>
      </c>
      <c r="E445">
        <v>1499</v>
      </c>
      <c r="F445">
        <v>3</v>
      </c>
      <c r="G445">
        <v>4497</v>
      </c>
      <c r="H445" t="s">
        <v>23</v>
      </c>
      <c r="I445" t="s">
        <v>31</v>
      </c>
      <c r="J445" t="s">
        <v>25</v>
      </c>
      <c r="K445" t="s">
        <v>45</v>
      </c>
    </row>
    <row r="446" spans="1:11">
      <c r="A446" t="s">
        <v>680</v>
      </c>
      <c r="B446" t="s">
        <v>447</v>
      </c>
      <c r="C446" t="s">
        <v>21</v>
      </c>
      <c r="D446" t="s">
        <v>22</v>
      </c>
      <c r="E446">
        <v>1499</v>
      </c>
      <c r="F446">
        <v>4</v>
      </c>
      <c r="G446">
        <v>5996</v>
      </c>
      <c r="H446" t="s">
        <v>62</v>
      </c>
      <c r="I446" t="s">
        <v>57</v>
      </c>
      <c r="J446" t="s">
        <v>32</v>
      </c>
      <c r="K446" t="s">
        <v>18</v>
      </c>
    </row>
    <row r="447" spans="1:11">
      <c r="A447" t="s">
        <v>681</v>
      </c>
      <c r="B447" t="s">
        <v>682</v>
      </c>
      <c r="C447" t="s">
        <v>162</v>
      </c>
      <c r="D447" t="s">
        <v>29</v>
      </c>
      <c r="E447">
        <v>1799</v>
      </c>
      <c r="F447">
        <v>3</v>
      </c>
      <c r="G447">
        <v>5397</v>
      </c>
      <c r="H447" t="s">
        <v>102</v>
      </c>
      <c r="I447" t="s">
        <v>63</v>
      </c>
      <c r="J447" t="s">
        <v>38</v>
      </c>
      <c r="K447" t="s">
        <v>18</v>
      </c>
    </row>
    <row r="448" spans="1:11">
      <c r="A448" t="s">
        <v>683</v>
      </c>
      <c r="B448" t="s">
        <v>51</v>
      </c>
      <c r="C448" t="s">
        <v>87</v>
      </c>
      <c r="D448" t="s">
        <v>88</v>
      </c>
      <c r="E448">
        <v>5499</v>
      </c>
      <c r="F448">
        <v>1</v>
      </c>
      <c r="G448">
        <v>5499</v>
      </c>
      <c r="H448" t="s">
        <v>62</v>
      </c>
      <c r="I448" t="s">
        <v>31</v>
      </c>
      <c r="J448" t="s">
        <v>32</v>
      </c>
      <c r="K448" t="s">
        <v>18</v>
      </c>
    </row>
    <row r="449" spans="1:11">
      <c r="A449" t="s">
        <v>684</v>
      </c>
      <c r="B449" t="s">
        <v>512</v>
      </c>
      <c r="C449" t="s">
        <v>21</v>
      </c>
      <c r="D449" t="s">
        <v>22</v>
      </c>
      <c r="E449">
        <v>1499</v>
      </c>
      <c r="F449">
        <v>1</v>
      </c>
      <c r="G449">
        <v>1499</v>
      </c>
      <c r="H449" t="s">
        <v>56</v>
      </c>
      <c r="I449" t="s">
        <v>77</v>
      </c>
      <c r="J449" t="s">
        <v>25</v>
      </c>
      <c r="K449" t="s">
        <v>18</v>
      </c>
    </row>
    <row r="450" spans="1:11">
      <c r="A450" t="s">
        <v>685</v>
      </c>
      <c r="B450" t="s">
        <v>442</v>
      </c>
      <c r="C450" t="s">
        <v>80</v>
      </c>
      <c r="D450" t="s">
        <v>81</v>
      </c>
      <c r="E450">
        <v>299</v>
      </c>
      <c r="F450">
        <v>4</v>
      </c>
      <c r="G450">
        <v>1196</v>
      </c>
      <c r="H450" t="s">
        <v>186</v>
      </c>
      <c r="I450" t="s">
        <v>24</v>
      </c>
      <c r="J450" t="s">
        <v>90</v>
      </c>
      <c r="K450" t="s">
        <v>18</v>
      </c>
    </row>
    <row r="451" spans="1:11">
      <c r="A451" t="s">
        <v>686</v>
      </c>
      <c r="B451" t="s">
        <v>203</v>
      </c>
      <c r="C451" t="s">
        <v>28</v>
      </c>
      <c r="D451" t="s">
        <v>29</v>
      </c>
      <c r="E451">
        <v>1299</v>
      </c>
      <c r="F451">
        <v>1</v>
      </c>
      <c r="G451">
        <v>1299</v>
      </c>
      <c r="H451" t="s">
        <v>37</v>
      </c>
      <c r="I451" t="s">
        <v>98</v>
      </c>
      <c r="J451" t="s">
        <v>17</v>
      </c>
      <c r="K451" t="s">
        <v>18</v>
      </c>
    </row>
    <row r="452" spans="1:11">
      <c r="A452" t="s">
        <v>687</v>
      </c>
      <c r="B452" t="s">
        <v>408</v>
      </c>
      <c r="C452" t="s">
        <v>70</v>
      </c>
      <c r="D452" t="s">
        <v>29</v>
      </c>
      <c r="E452">
        <v>799</v>
      </c>
      <c r="F452">
        <v>2</v>
      </c>
      <c r="G452">
        <v>1598</v>
      </c>
      <c r="H452" t="s">
        <v>37</v>
      </c>
      <c r="I452" t="s">
        <v>125</v>
      </c>
      <c r="J452" t="s">
        <v>25</v>
      </c>
      <c r="K452" t="s">
        <v>18</v>
      </c>
    </row>
    <row r="453" spans="1:11">
      <c r="A453" t="s">
        <v>688</v>
      </c>
      <c r="B453" t="s">
        <v>109</v>
      </c>
      <c r="C453" t="s">
        <v>80</v>
      </c>
      <c r="D453" t="s">
        <v>81</v>
      </c>
      <c r="E453">
        <v>299</v>
      </c>
      <c r="F453">
        <v>2</v>
      </c>
      <c r="G453">
        <v>598</v>
      </c>
      <c r="H453" t="s">
        <v>89</v>
      </c>
      <c r="I453" t="s">
        <v>16</v>
      </c>
      <c r="J453" t="s">
        <v>38</v>
      </c>
      <c r="K453" t="s">
        <v>45</v>
      </c>
    </row>
    <row r="454" spans="1:11">
      <c r="A454" t="s">
        <v>689</v>
      </c>
      <c r="B454" t="s">
        <v>179</v>
      </c>
      <c r="C454" t="s">
        <v>122</v>
      </c>
      <c r="D454" t="s">
        <v>29</v>
      </c>
      <c r="E454">
        <v>1299</v>
      </c>
      <c r="F454">
        <v>1</v>
      </c>
      <c r="G454">
        <v>1299</v>
      </c>
      <c r="H454" t="s">
        <v>15</v>
      </c>
      <c r="I454" t="s">
        <v>57</v>
      </c>
      <c r="J454" t="s">
        <v>32</v>
      </c>
      <c r="K454" t="s">
        <v>45</v>
      </c>
    </row>
    <row r="455" spans="1:11">
      <c r="A455" t="s">
        <v>690</v>
      </c>
      <c r="B455" t="s">
        <v>485</v>
      </c>
      <c r="C455" t="s">
        <v>13</v>
      </c>
      <c r="D455" t="s">
        <v>14</v>
      </c>
      <c r="E455">
        <v>2499</v>
      </c>
      <c r="F455">
        <v>4</v>
      </c>
      <c r="G455">
        <v>9996</v>
      </c>
      <c r="H455" t="s">
        <v>119</v>
      </c>
      <c r="I455" t="s">
        <v>31</v>
      </c>
      <c r="J455" t="s">
        <v>38</v>
      </c>
      <c r="K455" t="s">
        <v>45</v>
      </c>
    </row>
    <row r="456" spans="1:11">
      <c r="A456" t="s">
        <v>691</v>
      </c>
      <c r="B456" t="s">
        <v>310</v>
      </c>
      <c r="C456" t="s">
        <v>21</v>
      </c>
      <c r="D456" t="s">
        <v>22</v>
      </c>
      <c r="E456">
        <v>1499</v>
      </c>
      <c r="F456">
        <v>5</v>
      </c>
      <c r="G456">
        <v>7495</v>
      </c>
      <c r="H456" t="s">
        <v>186</v>
      </c>
      <c r="I456" t="s">
        <v>24</v>
      </c>
      <c r="J456" t="s">
        <v>17</v>
      </c>
      <c r="K456" t="s">
        <v>18</v>
      </c>
    </row>
    <row r="457" spans="1:11">
      <c r="A457" t="s">
        <v>692</v>
      </c>
      <c r="B457" t="s">
        <v>205</v>
      </c>
      <c r="C457" t="s">
        <v>21</v>
      </c>
      <c r="D457" t="s">
        <v>22</v>
      </c>
      <c r="E457">
        <v>1499</v>
      </c>
      <c r="F457">
        <v>2</v>
      </c>
      <c r="G457">
        <v>2998</v>
      </c>
      <c r="H457" t="s">
        <v>37</v>
      </c>
      <c r="I457" t="s">
        <v>77</v>
      </c>
      <c r="J457" t="s">
        <v>25</v>
      </c>
      <c r="K457" t="s">
        <v>45</v>
      </c>
    </row>
    <row r="458" spans="1:11">
      <c r="A458" t="s">
        <v>693</v>
      </c>
      <c r="B458" t="s">
        <v>485</v>
      </c>
      <c r="C458" t="s">
        <v>48</v>
      </c>
      <c r="D458" t="s">
        <v>49</v>
      </c>
      <c r="E458">
        <v>699</v>
      </c>
      <c r="F458">
        <v>4</v>
      </c>
      <c r="G458">
        <v>2796</v>
      </c>
      <c r="H458" t="s">
        <v>119</v>
      </c>
      <c r="I458" t="s">
        <v>67</v>
      </c>
      <c r="J458" t="s">
        <v>25</v>
      </c>
      <c r="K458" t="s">
        <v>18</v>
      </c>
    </row>
    <row r="459" spans="1:11">
      <c r="A459" t="s">
        <v>694</v>
      </c>
      <c r="B459" t="s">
        <v>75</v>
      </c>
      <c r="C459" t="s">
        <v>28</v>
      </c>
      <c r="D459" t="s">
        <v>29</v>
      </c>
      <c r="E459">
        <v>1299</v>
      </c>
      <c r="F459">
        <v>1</v>
      </c>
      <c r="G459">
        <v>1299</v>
      </c>
      <c r="H459" t="s">
        <v>119</v>
      </c>
      <c r="I459" t="s">
        <v>77</v>
      </c>
      <c r="J459" t="s">
        <v>90</v>
      </c>
      <c r="K459" t="s">
        <v>18</v>
      </c>
    </row>
    <row r="460" spans="1:11">
      <c r="A460" t="s">
        <v>695</v>
      </c>
      <c r="B460" t="s">
        <v>398</v>
      </c>
      <c r="C460" t="s">
        <v>135</v>
      </c>
      <c r="D460" t="s">
        <v>29</v>
      </c>
      <c r="E460">
        <v>3999</v>
      </c>
      <c r="F460">
        <v>3</v>
      </c>
      <c r="G460">
        <v>11997</v>
      </c>
      <c r="H460" t="s">
        <v>157</v>
      </c>
      <c r="I460" t="s">
        <v>63</v>
      </c>
      <c r="J460" t="s">
        <v>32</v>
      </c>
      <c r="K460" t="s">
        <v>33</v>
      </c>
    </row>
    <row r="461" spans="1:11">
      <c r="A461" t="s">
        <v>696</v>
      </c>
      <c r="B461" t="s">
        <v>152</v>
      </c>
      <c r="C461" t="s">
        <v>28</v>
      </c>
      <c r="D461" t="s">
        <v>29</v>
      </c>
      <c r="E461">
        <v>1299</v>
      </c>
      <c r="F461">
        <v>4</v>
      </c>
      <c r="G461">
        <v>5196</v>
      </c>
      <c r="H461" t="s">
        <v>30</v>
      </c>
      <c r="I461" t="s">
        <v>63</v>
      </c>
      <c r="J461" t="s">
        <v>17</v>
      </c>
      <c r="K461" t="s">
        <v>18</v>
      </c>
    </row>
    <row r="462" spans="1:11">
      <c r="A462" t="s">
        <v>697</v>
      </c>
      <c r="B462" t="s">
        <v>185</v>
      </c>
      <c r="C462" t="s">
        <v>135</v>
      </c>
      <c r="D462" t="s">
        <v>29</v>
      </c>
      <c r="E462">
        <v>3999</v>
      </c>
      <c r="F462">
        <v>2</v>
      </c>
      <c r="G462">
        <v>7998</v>
      </c>
      <c r="H462" t="s">
        <v>15</v>
      </c>
      <c r="I462" t="s">
        <v>24</v>
      </c>
      <c r="J462" t="s">
        <v>25</v>
      </c>
      <c r="K462" t="s">
        <v>18</v>
      </c>
    </row>
    <row r="463" spans="1:11">
      <c r="A463" t="s">
        <v>698</v>
      </c>
      <c r="B463" t="s">
        <v>139</v>
      </c>
      <c r="C463" t="s">
        <v>76</v>
      </c>
      <c r="D463" t="s">
        <v>49</v>
      </c>
      <c r="E463">
        <v>1599</v>
      </c>
      <c r="F463">
        <v>4</v>
      </c>
      <c r="G463">
        <v>6396</v>
      </c>
      <c r="H463" t="s">
        <v>102</v>
      </c>
      <c r="I463" t="s">
        <v>105</v>
      </c>
      <c r="J463" t="s">
        <v>32</v>
      </c>
      <c r="K463" t="s">
        <v>18</v>
      </c>
    </row>
    <row r="464" spans="1:11">
      <c r="A464" t="s">
        <v>699</v>
      </c>
      <c r="B464" t="s">
        <v>215</v>
      </c>
      <c r="C464" t="s">
        <v>80</v>
      </c>
      <c r="D464" t="s">
        <v>81</v>
      </c>
      <c r="E464">
        <v>299</v>
      </c>
      <c r="F464">
        <v>2</v>
      </c>
      <c r="G464">
        <v>598</v>
      </c>
      <c r="H464" t="s">
        <v>43</v>
      </c>
      <c r="I464" t="s">
        <v>77</v>
      </c>
      <c r="J464" t="s">
        <v>17</v>
      </c>
      <c r="K464" t="s">
        <v>33</v>
      </c>
    </row>
    <row r="465" spans="1:11">
      <c r="A465" t="s">
        <v>700</v>
      </c>
      <c r="B465" t="s">
        <v>343</v>
      </c>
      <c r="C465" t="s">
        <v>21</v>
      </c>
      <c r="D465" t="s">
        <v>22</v>
      </c>
      <c r="E465">
        <v>1499</v>
      </c>
      <c r="F465">
        <v>5</v>
      </c>
      <c r="G465">
        <v>7495</v>
      </c>
      <c r="H465" t="s">
        <v>102</v>
      </c>
      <c r="I465" t="s">
        <v>105</v>
      </c>
      <c r="J465" t="s">
        <v>17</v>
      </c>
      <c r="K465" t="s">
        <v>18</v>
      </c>
    </row>
    <row r="466" spans="1:11">
      <c r="A466" t="s">
        <v>701</v>
      </c>
      <c r="B466" t="s">
        <v>553</v>
      </c>
      <c r="C466" t="s">
        <v>87</v>
      </c>
      <c r="D466" t="s">
        <v>88</v>
      </c>
      <c r="E466">
        <v>5499</v>
      </c>
      <c r="F466">
        <v>5</v>
      </c>
      <c r="G466">
        <v>27495</v>
      </c>
      <c r="H466" t="s">
        <v>119</v>
      </c>
      <c r="I466" t="s">
        <v>24</v>
      </c>
      <c r="J466" t="s">
        <v>38</v>
      </c>
      <c r="K466" t="s">
        <v>18</v>
      </c>
    </row>
    <row r="467" spans="1:11">
      <c r="A467" t="s">
        <v>702</v>
      </c>
      <c r="B467" t="s">
        <v>107</v>
      </c>
      <c r="C467" t="s">
        <v>70</v>
      </c>
      <c r="D467" t="s">
        <v>29</v>
      </c>
      <c r="E467">
        <v>799</v>
      </c>
      <c r="F467">
        <v>3</v>
      </c>
      <c r="G467">
        <v>2397</v>
      </c>
      <c r="H467" t="s">
        <v>119</v>
      </c>
      <c r="I467" t="s">
        <v>31</v>
      </c>
      <c r="J467" t="s">
        <v>38</v>
      </c>
      <c r="K467" t="s">
        <v>45</v>
      </c>
    </row>
    <row r="468" spans="1:11">
      <c r="A468" t="s">
        <v>703</v>
      </c>
      <c r="B468" t="s">
        <v>381</v>
      </c>
      <c r="C468" t="s">
        <v>52</v>
      </c>
      <c r="D468" t="s">
        <v>53</v>
      </c>
      <c r="E468">
        <v>199</v>
      </c>
      <c r="F468">
        <v>3</v>
      </c>
      <c r="G468">
        <v>597</v>
      </c>
      <c r="H468" t="s">
        <v>56</v>
      </c>
      <c r="I468" t="s">
        <v>16</v>
      </c>
      <c r="J468" t="s">
        <v>17</v>
      </c>
      <c r="K468" t="s">
        <v>18</v>
      </c>
    </row>
    <row r="469" spans="1:11">
      <c r="A469" t="s">
        <v>704</v>
      </c>
      <c r="B469" t="s">
        <v>553</v>
      </c>
      <c r="C469" t="s">
        <v>36</v>
      </c>
      <c r="D469" t="s">
        <v>29</v>
      </c>
      <c r="E469">
        <v>1999</v>
      </c>
      <c r="F469">
        <v>4</v>
      </c>
      <c r="G469">
        <v>7996</v>
      </c>
      <c r="H469" t="s">
        <v>157</v>
      </c>
      <c r="I469" t="s">
        <v>77</v>
      </c>
      <c r="J469" t="s">
        <v>25</v>
      </c>
      <c r="K469" t="s">
        <v>18</v>
      </c>
    </row>
    <row r="470" spans="1:11">
      <c r="A470" t="s">
        <v>705</v>
      </c>
      <c r="B470" t="s">
        <v>40</v>
      </c>
      <c r="C470" t="s">
        <v>76</v>
      </c>
      <c r="D470" t="s">
        <v>49</v>
      </c>
      <c r="E470">
        <v>1599</v>
      </c>
      <c r="F470">
        <v>3</v>
      </c>
      <c r="G470">
        <v>4797</v>
      </c>
      <c r="H470" t="s">
        <v>15</v>
      </c>
      <c r="I470" t="s">
        <v>31</v>
      </c>
      <c r="J470" t="s">
        <v>17</v>
      </c>
      <c r="K470" t="s">
        <v>45</v>
      </c>
    </row>
    <row r="471" spans="1:11">
      <c r="A471" t="s">
        <v>706</v>
      </c>
      <c r="B471" t="s">
        <v>79</v>
      </c>
      <c r="C471" t="s">
        <v>70</v>
      </c>
      <c r="D471" t="s">
        <v>29</v>
      </c>
      <c r="E471">
        <v>799</v>
      </c>
      <c r="F471">
        <v>2</v>
      </c>
      <c r="G471">
        <v>1598</v>
      </c>
      <c r="H471" t="s">
        <v>95</v>
      </c>
      <c r="I471" t="s">
        <v>105</v>
      </c>
      <c r="J471" t="s">
        <v>38</v>
      </c>
      <c r="K471" t="s">
        <v>18</v>
      </c>
    </row>
    <row r="472" spans="1:11">
      <c r="A472" t="s">
        <v>707</v>
      </c>
      <c r="B472" t="s">
        <v>92</v>
      </c>
      <c r="C472" t="s">
        <v>101</v>
      </c>
      <c r="D472" t="s">
        <v>81</v>
      </c>
      <c r="E472">
        <v>499</v>
      </c>
      <c r="F472">
        <v>2</v>
      </c>
      <c r="G472">
        <v>998</v>
      </c>
      <c r="H472" t="s">
        <v>43</v>
      </c>
      <c r="I472" t="s">
        <v>77</v>
      </c>
      <c r="J472" t="s">
        <v>17</v>
      </c>
      <c r="K472" t="s">
        <v>45</v>
      </c>
    </row>
    <row r="473" spans="1:11">
      <c r="A473" t="s">
        <v>708</v>
      </c>
      <c r="B473" t="s">
        <v>709</v>
      </c>
      <c r="C473" t="s">
        <v>52</v>
      </c>
      <c r="D473" t="s">
        <v>53</v>
      </c>
      <c r="E473">
        <v>199</v>
      </c>
      <c r="F473">
        <v>4</v>
      </c>
      <c r="G473">
        <v>796</v>
      </c>
      <c r="H473" t="s">
        <v>43</v>
      </c>
      <c r="I473" t="s">
        <v>63</v>
      </c>
      <c r="J473" t="s">
        <v>32</v>
      </c>
      <c r="K473" t="s">
        <v>45</v>
      </c>
    </row>
    <row r="474" spans="1:11">
      <c r="A474" t="s">
        <v>710</v>
      </c>
      <c r="B474" t="s">
        <v>598</v>
      </c>
      <c r="C474" t="s">
        <v>135</v>
      </c>
      <c r="D474" t="s">
        <v>29</v>
      </c>
      <c r="E474">
        <v>3999</v>
      </c>
      <c r="F474">
        <v>1</v>
      </c>
      <c r="G474">
        <v>3999</v>
      </c>
      <c r="H474" t="s">
        <v>43</v>
      </c>
      <c r="I474" t="s">
        <v>16</v>
      </c>
      <c r="J474" t="s">
        <v>90</v>
      </c>
      <c r="K474" t="s">
        <v>18</v>
      </c>
    </row>
    <row r="475" spans="1:11">
      <c r="A475" t="s">
        <v>711</v>
      </c>
      <c r="B475" t="s">
        <v>212</v>
      </c>
      <c r="C475" t="s">
        <v>13</v>
      </c>
      <c r="D475" t="s">
        <v>14</v>
      </c>
      <c r="E475">
        <v>2499</v>
      </c>
      <c r="F475">
        <v>1</v>
      </c>
      <c r="G475">
        <v>2499</v>
      </c>
      <c r="H475" t="s">
        <v>89</v>
      </c>
      <c r="I475" t="s">
        <v>82</v>
      </c>
      <c r="J475" t="s">
        <v>32</v>
      </c>
      <c r="K475" t="s">
        <v>18</v>
      </c>
    </row>
    <row r="476" spans="1:11">
      <c r="A476" t="s">
        <v>712</v>
      </c>
      <c r="B476" t="s">
        <v>274</v>
      </c>
      <c r="C476" t="s">
        <v>28</v>
      </c>
      <c r="D476" t="s">
        <v>29</v>
      </c>
      <c r="E476">
        <v>1299</v>
      </c>
      <c r="F476">
        <v>5</v>
      </c>
      <c r="G476">
        <v>6495</v>
      </c>
      <c r="H476" t="s">
        <v>71</v>
      </c>
      <c r="I476" t="s">
        <v>125</v>
      </c>
      <c r="J476" t="s">
        <v>25</v>
      </c>
      <c r="K476" t="s">
        <v>18</v>
      </c>
    </row>
    <row r="477" spans="1:11">
      <c r="A477" t="s">
        <v>713</v>
      </c>
      <c r="B477" t="s">
        <v>630</v>
      </c>
      <c r="C477" t="s">
        <v>135</v>
      </c>
      <c r="D477" t="s">
        <v>29</v>
      </c>
      <c r="E477">
        <v>3999</v>
      </c>
      <c r="F477">
        <v>5</v>
      </c>
      <c r="G477">
        <v>19995</v>
      </c>
      <c r="H477" t="s">
        <v>37</v>
      </c>
      <c r="I477" t="s">
        <v>125</v>
      </c>
      <c r="J477" t="s">
        <v>32</v>
      </c>
      <c r="K477" t="s">
        <v>18</v>
      </c>
    </row>
    <row r="478" spans="1:11">
      <c r="A478" t="s">
        <v>714</v>
      </c>
      <c r="B478" t="s">
        <v>118</v>
      </c>
      <c r="C478" t="s">
        <v>162</v>
      </c>
      <c r="D478" t="s">
        <v>29</v>
      </c>
      <c r="E478">
        <v>1799</v>
      </c>
      <c r="F478">
        <v>3</v>
      </c>
      <c r="G478">
        <v>5397</v>
      </c>
      <c r="H478" t="s">
        <v>186</v>
      </c>
      <c r="I478" t="s">
        <v>16</v>
      </c>
      <c r="J478" t="s">
        <v>38</v>
      </c>
      <c r="K478" t="s">
        <v>45</v>
      </c>
    </row>
    <row r="479" spans="1:11">
      <c r="A479" t="s">
        <v>715</v>
      </c>
      <c r="B479" t="s">
        <v>132</v>
      </c>
      <c r="C479" t="s">
        <v>13</v>
      </c>
      <c r="D479" t="s">
        <v>14</v>
      </c>
      <c r="E479">
        <v>2499</v>
      </c>
      <c r="F479">
        <v>2</v>
      </c>
      <c r="G479">
        <v>4998</v>
      </c>
      <c r="H479" t="s">
        <v>43</v>
      </c>
      <c r="I479" t="s">
        <v>63</v>
      </c>
      <c r="J479" t="s">
        <v>90</v>
      </c>
      <c r="K479" t="s">
        <v>18</v>
      </c>
    </row>
    <row r="480" spans="1:11">
      <c r="A480" t="s">
        <v>716</v>
      </c>
      <c r="B480" t="s">
        <v>141</v>
      </c>
      <c r="C480" t="s">
        <v>13</v>
      </c>
      <c r="D480" t="s">
        <v>14</v>
      </c>
      <c r="E480">
        <v>2499</v>
      </c>
      <c r="F480">
        <v>4</v>
      </c>
      <c r="G480">
        <v>9996</v>
      </c>
      <c r="H480" t="s">
        <v>71</v>
      </c>
      <c r="I480" t="s">
        <v>57</v>
      </c>
      <c r="J480" t="s">
        <v>17</v>
      </c>
      <c r="K480" t="s">
        <v>18</v>
      </c>
    </row>
    <row r="481" spans="1:11">
      <c r="A481" t="s">
        <v>717</v>
      </c>
      <c r="B481" t="s">
        <v>429</v>
      </c>
      <c r="C481" t="s">
        <v>101</v>
      </c>
      <c r="D481" t="s">
        <v>81</v>
      </c>
      <c r="E481">
        <v>499</v>
      </c>
      <c r="F481">
        <v>1</v>
      </c>
      <c r="G481">
        <v>499</v>
      </c>
      <c r="H481" t="s">
        <v>37</v>
      </c>
      <c r="I481" t="s">
        <v>44</v>
      </c>
      <c r="J481" t="s">
        <v>32</v>
      </c>
      <c r="K481" t="s">
        <v>45</v>
      </c>
    </row>
    <row r="482" spans="1:11">
      <c r="A482" t="s">
        <v>718</v>
      </c>
      <c r="B482" t="s">
        <v>121</v>
      </c>
      <c r="C482" t="s">
        <v>122</v>
      </c>
      <c r="D482" t="s">
        <v>29</v>
      </c>
      <c r="E482">
        <v>1299</v>
      </c>
      <c r="F482">
        <v>1</v>
      </c>
      <c r="G482">
        <v>1299</v>
      </c>
      <c r="H482" t="s">
        <v>95</v>
      </c>
      <c r="I482" t="s">
        <v>63</v>
      </c>
      <c r="J482" t="s">
        <v>38</v>
      </c>
      <c r="K482" t="s">
        <v>18</v>
      </c>
    </row>
    <row r="483" spans="1:11">
      <c r="A483" t="s">
        <v>719</v>
      </c>
      <c r="B483" t="s">
        <v>113</v>
      </c>
      <c r="C483" t="s">
        <v>60</v>
      </c>
      <c r="D483" t="s">
        <v>61</v>
      </c>
      <c r="E483">
        <v>899</v>
      </c>
      <c r="F483">
        <v>2</v>
      </c>
      <c r="G483">
        <v>1798</v>
      </c>
      <c r="H483" t="s">
        <v>62</v>
      </c>
      <c r="I483" t="s">
        <v>105</v>
      </c>
      <c r="J483" t="s">
        <v>25</v>
      </c>
      <c r="K483" t="s">
        <v>18</v>
      </c>
    </row>
    <row r="484" spans="1:11">
      <c r="A484" t="s">
        <v>720</v>
      </c>
      <c r="B484" t="s">
        <v>183</v>
      </c>
      <c r="C484" t="s">
        <v>135</v>
      </c>
      <c r="D484" t="s">
        <v>29</v>
      </c>
      <c r="E484">
        <v>3999</v>
      </c>
      <c r="F484">
        <v>2</v>
      </c>
      <c r="G484">
        <v>7998</v>
      </c>
      <c r="H484" t="s">
        <v>71</v>
      </c>
      <c r="I484" t="s">
        <v>125</v>
      </c>
      <c r="J484" t="s">
        <v>17</v>
      </c>
      <c r="K484" t="s">
        <v>18</v>
      </c>
    </row>
    <row r="485" spans="1:11">
      <c r="A485" t="s">
        <v>721</v>
      </c>
      <c r="B485" t="s">
        <v>568</v>
      </c>
      <c r="C485" t="s">
        <v>70</v>
      </c>
      <c r="D485" t="s">
        <v>29</v>
      </c>
      <c r="E485">
        <v>799</v>
      </c>
      <c r="F485">
        <v>5</v>
      </c>
      <c r="G485">
        <v>3995</v>
      </c>
      <c r="H485" t="s">
        <v>62</v>
      </c>
      <c r="I485" t="s">
        <v>125</v>
      </c>
      <c r="J485" t="s">
        <v>38</v>
      </c>
      <c r="K485" t="s">
        <v>18</v>
      </c>
    </row>
    <row r="486" spans="1:11">
      <c r="A486" t="s">
        <v>722</v>
      </c>
      <c r="B486" t="s">
        <v>450</v>
      </c>
      <c r="C486" t="s">
        <v>13</v>
      </c>
      <c r="D486" t="s">
        <v>14</v>
      </c>
      <c r="E486">
        <v>2499</v>
      </c>
      <c r="F486">
        <v>1</v>
      </c>
      <c r="G486">
        <v>2499</v>
      </c>
      <c r="H486" t="s">
        <v>30</v>
      </c>
      <c r="I486" t="s">
        <v>57</v>
      </c>
      <c r="J486" t="s">
        <v>32</v>
      </c>
      <c r="K486" t="s">
        <v>45</v>
      </c>
    </row>
    <row r="487" spans="1:11">
      <c r="A487" t="s">
        <v>723</v>
      </c>
      <c r="B487" t="s">
        <v>272</v>
      </c>
      <c r="C487" t="s">
        <v>87</v>
      </c>
      <c r="D487" t="s">
        <v>88</v>
      </c>
      <c r="E487">
        <v>5499</v>
      </c>
      <c r="F487">
        <v>1</v>
      </c>
      <c r="G487">
        <v>5499</v>
      </c>
      <c r="H487" t="s">
        <v>71</v>
      </c>
      <c r="I487" t="s">
        <v>98</v>
      </c>
      <c r="J487" t="s">
        <v>32</v>
      </c>
      <c r="K487" t="s">
        <v>18</v>
      </c>
    </row>
    <row r="488" spans="1:11">
      <c r="A488" t="s">
        <v>724</v>
      </c>
      <c r="B488" t="s">
        <v>276</v>
      </c>
      <c r="C488" t="s">
        <v>60</v>
      </c>
      <c r="D488" t="s">
        <v>61</v>
      </c>
      <c r="E488">
        <v>899</v>
      </c>
      <c r="F488">
        <v>4</v>
      </c>
      <c r="G488">
        <v>3596</v>
      </c>
      <c r="H488" t="s">
        <v>23</v>
      </c>
      <c r="I488" t="s">
        <v>63</v>
      </c>
      <c r="J488" t="s">
        <v>17</v>
      </c>
      <c r="K488" t="s">
        <v>18</v>
      </c>
    </row>
    <row r="489" spans="1:11">
      <c r="A489" t="s">
        <v>725</v>
      </c>
      <c r="B489" t="s">
        <v>568</v>
      </c>
      <c r="C489" t="s">
        <v>135</v>
      </c>
      <c r="D489" t="s">
        <v>29</v>
      </c>
      <c r="E489">
        <v>3999</v>
      </c>
      <c r="F489">
        <v>5</v>
      </c>
      <c r="G489">
        <v>19995</v>
      </c>
      <c r="H489" t="s">
        <v>23</v>
      </c>
      <c r="I489" t="s">
        <v>67</v>
      </c>
      <c r="J489" t="s">
        <v>25</v>
      </c>
      <c r="K489" t="s">
        <v>18</v>
      </c>
    </row>
    <row r="490" spans="1:11">
      <c r="A490" t="s">
        <v>726</v>
      </c>
      <c r="B490" t="s">
        <v>472</v>
      </c>
      <c r="C490" t="s">
        <v>48</v>
      </c>
      <c r="D490" t="s">
        <v>49</v>
      </c>
      <c r="E490">
        <v>699</v>
      </c>
      <c r="F490">
        <v>4</v>
      </c>
      <c r="G490">
        <v>2796</v>
      </c>
      <c r="H490" t="s">
        <v>30</v>
      </c>
      <c r="I490" t="s">
        <v>57</v>
      </c>
      <c r="J490" t="s">
        <v>25</v>
      </c>
      <c r="K490" t="s">
        <v>18</v>
      </c>
    </row>
    <row r="491" spans="1:11">
      <c r="A491" t="s">
        <v>727</v>
      </c>
      <c r="B491" t="s">
        <v>295</v>
      </c>
      <c r="C491" t="s">
        <v>28</v>
      </c>
      <c r="D491" t="s">
        <v>29</v>
      </c>
      <c r="E491">
        <v>1299</v>
      </c>
      <c r="F491">
        <v>3</v>
      </c>
      <c r="G491">
        <v>3897</v>
      </c>
      <c r="H491" t="s">
        <v>71</v>
      </c>
      <c r="I491" t="s">
        <v>67</v>
      </c>
      <c r="J491" t="s">
        <v>90</v>
      </c>
      <c r="K491" t="s">
        <v>18</v>
      </c>
    </row>
    <row r="492" spans="1:11">
      <c r="A492" t="s">
        <v>728</v>
      </c>
      <c r="B492" t="s">
        <v>442</v>
      </c>
      <c r="C492" t="s">
        <v>76</v>
      </c>
      <c r="D492" t="s">
        <v>49</v>
      </c>
      <c r="E492">
        <v>1599</v>
      </c>
      <c r="F492">
        <v>1</v>
      </c>
      <c r="G492">
        <v>1599</v>
      </c>
      <c r="H492" t="s">
        <v>95</v>
      </c>
      <c r="I492" t="s">
        <v>24</v>
      </c>
      <c r="J492" t="s">
        <v>25</v>
      </c>
      <c r="K492" t="s">
        <v>33</v>
      </c>
    </row>
    <row r="493" spans="1:11">
      <c r="A493" t="s">
        <v>729</v>
      </c>
      <c r="B493" t="s">
        <v>356</v>
      </c>
      <c r="C493" t="s">
        <v>135</v>
      </c>
      <c r="D493" t="s">
        <v>29</v>
      </c>
      <c r="E493">
        <v>3999</v>
      </c>
      <c r="F493">
        <v>3</v>
      </c>
      <c r="G493">
        <v>11997</v>
      </c>
      <c r="H493" t="s">
        <v>43</v>
      </c>
      <c r="I493" t="s">
        <v>67</v>
      </c>
      <c r="J493" t="s">
        <v>90</v>
      </c>
      <c r="K493" t="s">
        <v>18</v>
      </c>
    </row>
    <row r="494" spans="1:11">
      <c r="A494" t="s">
        <v>730</v>
      </c>
      <c r="B494" t="s">
        <v>429</v>
      </c>
      <c r="C494" t="s">
        <v>76</v>
      </c>
      <c r="D494" t="s">
        <v>49</v>
      </c>
      <c r="E494">
        <v>1599</v>
      </c>
      <c r="F494">
        <v>5</v>
      </c>
      <c r="G494">
        <v>7995</v>
      </c>
      <c r="H494" t="s">
        <v>23</v>
      </c>
      <c r="I494" t="s">
        <v>77</v>
      </c>
      <c r="J494" t="s">
        <v>32</v>
      </c>
      <c r="K494" t="s">
        <v>18</v>
      </c>
    </row>
    <row r="495" spans="1:11">
      <c r="A495" t="s">
        <v>731</v>
      </c>
      <c r="B495" t="s">
        <v>205</v>
      </c>
      <c r="C495" t="s">
        <v>87</v>
      </c>
      <c r="D495" t="s">
        <v>88</v>
      </c>
      <c r="E495">
        <v>5499</v>
      </c>
      <c r="F495">
        <v>3</v>
      </c>
      <c r="G495">
        <v>16497</v>
      </c>
      <c r="H495" t="s">
        <v>102</v>
      </c>
      <c r="I495" t="s">
        <v>125</v>
      </c>
      <c r="J495" t="s">
        <v>38</v>
      </c>
      <c r="K495" t="s">
        <v>18</v>
      </c>
    </row>
    <row r="496" spans="1:11">
      <c r="A496" t="s">
        <v>732</v>
      </c>
      <c r="B496" t="s">
        <v>267</v>
      </c>
      <c r="C496" t="s">
        <v>87</v>
      </c>
      <c r="D496" t="s">
        <v>88</v>
      </c>
      <c r="E496">
        <v>5499</v>
      </c>
      <c r="F496">
        <v>4</v>
      </c>
      <c r="G496">
        <v>21996</v>
      </c>
      <c r="H496" t="s">
        <v>23</v>
      </c>
      <c r="I496" t="s">
        <v>105</v>
      </c>
      <c r="J496" t="s">
        <v>25</v>
      </c>
      <c r="K496" t="s">
        <v>45</v>
      </c>
    </row>
    <row r="497" spans="1:11">
      <c r="A497" t="s">
        <v>733</v>
      </c>
      <c r="B497" t="s">
        <v>260</v>
      </c>
      <c r="C497" t="s">
        <v>87</v>
      </c>
      <c r="D497" t="s">
        <v>88</v>
      </c>
      <c r="E497">
        <v>5499</v>
      </c>
      <c r="F497">
        <v>2</v>
      </c>
      <c r="G497">
        <v>10998</v>
      </c>
      <c r="H497" t="s">
        <v>23</v>
      </c>
      <c r="I497" t="s">
        <v>24</v>
      </c>
      <c r="J497" t="s">
        <v>25</v>
      </c>
      <c r="K497" t="s">
        <v>18</v>
      </c>
    </row>
    <row r="498" spans="1:11">
      <c r="A498" t="s">
        <v>734</v>
      </c>
      <c r="B498" t="s">
        <v>447</v>
      </c>
      <c r="C498" t="s">
        <v>36</v>
      </c>
      <c r="D498" t="s">
        <v>29</v>
      </c>
      <c r="E498">
        <v>1999</v>
      </c>
      <c r="F498">
        <v>5</v>
      </c>
      <c r="G498">
        <v>9995</v>
      </c>
      <c r="H498" t="s">
        <v>37</v>
      </c>
      <c r="I498" t="s">
        <v>24</v>
      </c>
      <c r="J498" t="s">
        <v>38</v>
      </c>
      <c r="K498" t="s">
        <v>18</v>
      </c>
    </row>
    <row r="499" spans="1:11">
      <c r="A499" t="s">
        <v>735</v>
      </c>
      <c r="B499" t="s">
        <v>196</v>
      </c>
      <c r="C499" t="s">
        <v>101</v>
      </c>
      <c r="D499" t="s">
        <v>81</v>
      </c>
      <c r="E499">
        <v>499</v>
      </c>
      <c r="F499">
        <v>4</v>
      </c>
      <c r="G499">
        <v>1996</v>
      </c>
      <c r="H499" t="s">
        <v>56</v>
      </c>
      <c r="I499" t="s">
        <v>31</v>
      </c>
      <c r="J499" t="s">
        <v>25</v>
      </c>
      <c r="K499" t="s">
        <v>18</v>
      </c>
    </row>
    <row r="500" spans="1:11">
      <c r="A500" t="s">
        <v>736</v>
      </c>
      <c r="B500" t="s">
        <v>20</v>
      </c>
      <c r="C500" t="s">
        <v>13</v>
      </c>
      <c r="D500" t="s">
        <v>14</v>
      </c>
      <c r="E500">
        <v>2499</v>
      </c>
      <c r="F500">
        <v>2</v>
      </c>
      <c r="G500">
        <v>4998</v>
      </c>
      <c r="H500" t="s">
        <v>157</v>
      </c>
      <c r="I500" t="s">
        <v>57</v>
      </c>
      <c r="J500" t="s">
        <v>38</v>
      </c>
      <c r="K500" t="s">
        <v>18</v>
      </c>
    </row>
    <row r="501" spans="1:11">
      <c r="A501" t="s">
        <v>737</v>
      </c>
      <c r="B501" t="s">
        <v>150</v>
      </c>
      <c r="C501" t="s">
        <v>36</v>
      </c>
      <c r="D501" t="s">
        <v>29</v>
      </c>
      <c r="E501">
        <v>1999</v>
      </c>
      <c r="F501">
        <v>1</v>
      </c>
      <c r="G501">
        <v>1999</v>
      </c>
      <c r="H501" t="s">
        <v>56</v>
      </c>
      <c r="I501" t="s">
        <v>31</v>
      </c>
      <c r="J501" t="s">
        <v>32</v>
      </c>
      <c r="K501" t="s">
        <v>18</v>
      </c>
    </row>
    <row r="502" spans="1:11">
      <c r="A502" t="s">
        <v>738</v>
      </c>
      <c r="B502" t="s">
        <v>234</v>
      </c>
      <c r="C502" t="s">
        <v>101</v>
      </c>
      <c r="D502" t="s">
        <v>81</v>
      </c>
      <c r="E502">
        <v>499</v>
      </c>
      <c r="F502">
        <v>1</v>
      </c>
      <c r="G502">
        <v>499</v>
      </c>
      <c r="H502" t="s">
        <v>89</v>
      </c>
      <c r="I502" t="s">
        <v>67</v>
      </c>
      <c r="J502" t="s">
        <v>32</v>
      </c>
      <c r="K502" t="s">
        <v>18</v>
      </c>
    </row>
    <row r="503" spans="1:11">
      <c r="A503" t="s">
        <v>739</v>
      </c>
      <c r="B503" t="s">
        <v>269</v>
      </c>
      <c r="C503" t="s">
        <v>135</v>
      </c>
      <c r="D503" t="s">
        <v>29</v>
      </c>
      <c r="E503">
        <v>3999</v>
      </c>
      <c r="F503">
        <v>1</v>
      </c>
      <c r="G503">
        <v>3999</v>
      </c>
      <c r="H503" t="s">
        <v>43</v>
      </c>
      <c r="I503" t="s">
        <v>98</v>
      </c>
      <c r="J503" t="s">
        <v>32</v>
      </c>
      <c r="K503" t="s">
        <v>18</v>
      </c>
    </row>
    <row r="504" spans="1:11">
      <c r="A504" t="s">
        <v>740</v>
      </c>
      <c r="B504" t="s">
        <v>94</v>
      </c>
      <c r="C504" t="s">
        <v>87</v>
      </c>
      <c r="D504" t="s">
        <v>88</v>
      </c>
      <c r="E504">
        <v>5499</v>
      </c>
      <c r="F504">
        <v>2</v>
      </c>
      <c r="G504">
        <v>10998</v>
      </c>
      <c r="H504" t="s">
        <v>66</v>
      </c>
      <c r="I504" t="s">
        <v>98</v>
      </c>
      <c r="J504" t="s">
        <v>38</v>
      </c>
      <c r="K504" t="s">
        <v>18</v>
      </c>
    </row>
    <row r="505" spans="1:11">
      <c r="A505" t="s">
        <v>741</v>
      </c>
      <c r="B505" t="s">
        <v>215</v>
      </c>
      <c r="C505" t="s">
        <v>60</v>
      </c>
      <c r="D505" t="s">
        <v>61</v>
      </c>
      <c r="E505">
        <v>899</v>
      </c>
      <c r="F505">
        <v>2</v>
      </c>
      <c r="G505">
        <v>1798</v>
      </c>
      <c r="H505" t="s">
        <v>37</v>
      </c>
      <c r="I505" t="s">
        <v>67</v>
      </c>
      <c r="J505" t="s">
        <v>90</v>
      </c>
      <c r="K505" t="s">
        <v>33</v>
      </c>
    </row>
    <row r="506" spans="1:11">
      <c r="A506" t="s">
        <v>742</v>
      </c>
      <c r="B506" t="s">
        <v>291</v>
      </c>
      <c r="C506" t="s">
        <v>60</v>
      </c>
      <c r="D506" t="s">
        <v>61</v>
      </c>
      <c r="E506">
        <v>899</v>
      </c>
      <c r="F506">
        <v>1</v>
      </c>
      <c r="G506">
        <v>899</v>
      </c>
      <c r="H506" t="s">
        <v>30</v>
      </c>
      <c r="I506" t="s">
        <v>16</v>
      </c>
      <c r="J506" t="s">
        <v>32</v>
      </c>
      <c r="K506" t="s">
        <v>45</v>
      </c>
    </row>
    <row r="507" spans="1:11">
      <c r="A507" t="s">
        <v>743</v>
      </c>
      <c r="B507" t="s">
        <v>630</v>
      </c>
      <c r="C507" t="s">
        <v>122</v>
      </c>
      <c r="D507" t="s">
        <v>29</v>
      </c>
      <c r="E507">
        <v>1299</v>
      </c>
      <c r="F507">
        <v>5</v>
      </c>
      <c r="G507">
        <v>6495</v>
      </c>
      <c r="H507" t="s">
        <v>66</v>
      </c>
      <c r="I507" t="s">
        <v>31</v>
      </c>
      <c r="J507" t="s">
        <v>17</v>
      </c>
      <c r="K507" t="s">
        <v>18</v>
      </c>
    </row>
    <row r="508" spans="1:11">
      <c r="A508" t="s">
        <v>744</v>
      </c>
      <c r="B508" t="s">
        <v>745</v>
      </c>
      <c r="C508" t="s">
        <v>76</v>
      </c>
      <c r="D508" t="s">
        <v>49</v>
      </c>
      <c r="E508">
        <v>1599</v>
      </c>
      <c r="F508">
        <v>4</v>
      </c>
      <c r="G508">
        <v>6396</v>
      </c>
      <c r="H508" t="s">
        <v>43</v>
      </c>
      <c r="I508" t="s">
        <v>16</v>
      </c>
      <c r="J508" t="s">
        <v>90</v>
      </c>
      <c r="K508" t="s">
        <v>18</v>
      </c>
    </row>
    <row r="509" spans="1:11">
      <c r="A509" t="s">
        <v>746</v>
      </c>
      <c r="B509" t="s">
        <v>20</v>
      </c>
      <c r="C509" t="s">
        <v>36</v>
      </c>
      <c r="D509" t="s">
        <v>29</v>
      </c>
      <c r="E509">
        <v>1999</v>
      </c>
      <c r="F509">
        <v>3</v>
      </c>
      <c r="G509">
        <v>5997</v>
      </c>
      <c r="H509" t="s">
        <v>119</v>
      </c>
      <c r="I509" t="s">
        <v>82</v>
      </c>
      <c r="J509" t="s">
        <v>38</v>
      </c>
      <c r="K509" t="s">
        <v>45</v>
      </c>
    </row>
    <row r="510" spans="1:11">
      <c r="A510" t="s">
        <v>747</v>
      </c>
      <c r="B510" t="s">
        <v>748</v>
      </c>
      <c r="C510" t="s">
        <v>60</v>
      </c>
      <c r="D510" t="s">
        <v>61</v>
      </c>
      <c r="E510">
        <v>899</v>
      </c>
      <c r="F510">
        <v>2</v>
      </c>
      <c r="G510">
        <v>1798</v>
      </c>
      <c r="H510" t="s">
        <v>71</v>
      </c>
      <c r="I510" t="s">
        <v>44</v>
      </c>
      <c r="J510" t="s">
        <v>32</v>
      </c>
      <c r="K510" t="s">
        <v>18</v>
      </c>
    </row>
    <row r="511" spans="1:11">
      <c r="A511" t="s">
        <v>749</v>
      </c>
      <c r="B511" t="s">
        <v>512</v>
      </c>
      <c r="C511" t="s">
        <v>48</v>
      </c>
      <c r="D511" t="s">
        <v>49</v>
      </c>
      <c r="E511">
        <v>699</v>
      </c>
      <c r="F511">
        <v>3</v>
      </c>
      <c r="G511">
        <v>2097</v>
      </c>
      <c r="H511" t="s">
        <v>102</v>
      </c>
      <c r="I511" t="s">
        <v>57</v>
      </c>
      <c r="J511" t="s">
        <v>25</v>
      </c>
      <c r="K511" t="s">
        <v>18</v>
      </c>
    </row>
    <row r="512" spans="1:11">
      <c r="A512" t="s">
        <v>750</v>
      </c>
      <c r="B512" t="s">
        <v>219</v>
      </c>
      <c r="C512" t="s">
        <v>101</v>
      </c>
      <c r="D512" t="s">
        <v>81</v>
      </c>
      <c r="E512">
        <v>499</v>
      </c>
      <c r="F512">
        <v>3</v>
      </c>
      <c r="G512">
        <v>1497</v>
      </c>
      <c r="H512" t="s">
        <v>66</v>
      </c>
      <c r="I512" t="s">
        <v>57</v>
      </c>
      <c r="J512" t="s">
        <v>25</v>
      </c>
      <c r="K512" t="s">
        <v>18</v>
      </c>
    </row>
    <row r="513" spans="1:11">
      <c r="A513" t="s">
        <v>751</v>
      </c>
      <c r="B513" t="s">
        <v>321</v>
      </c>
      <c r="C513" t="s">
        <v>36</v>
      </c>
      <c r="D513" t="s">
        <v>29</v>
      </c>
      <c r="E513">
        <v>1999</v>
      </c>
      <c r="F513">
        <v>2</v>
      </c>
      <c r="G513">
        <v>3998</v>
      </c>
      <c r="H513" t="s">
        <v>30</v>
      </c>
      <c r="I513" t="s">
        <v>67</v>
      </c>
      <c r="J513" t="s">
        <v>38</v>
      </c>
      <c r="K513" t="s">
        <v>33</v>
      </c>
    </row>
    <row r="514" spans="1:11">
      <c r="A514" t="s">
        <v>752</v>
      </c>
      <c r="B514" t="s">
        <v>281</v>
      </c>
      <c r="C514" t="s">
        <v>122</v>
      </c>
      <c r="D514" t="s">
        <v>29</v>
      </c>
      <c r="E514">
        <v>1299</v>
      </c>
      <c r="F514">
        <v>1</v>
      </c>
      <c r="G514">
        <v>1299</v>
      </c>
      <c r="H514" t="s">
        <v>30</v>
      </c>
      <c r="I514" t="s">
        <v>63</v>
      </c>
      <c r="J514" t="s">
        <v>17</v>
      </c>
      <c r="K514" t="s">
        <v>18</v>
      </c>
    </row>
    <row r="515" spans="1:11">
      <c r="A515" t="s">
        <v>753</v>
      </c>
      <c r="B515" t="s">
        <v>65</v>
      </c>
      <c r="C515" t="s">
        <v>162</v>
      </c>
      <c r="D515" t="s">
        <v>29</v>
      </c>
      <c r="E515">
        <v>1799</v>
      </c>
      <c r="F515">
        <v>4</v>
      </c>
      <c r="G515">
        <v>7196</v>
      </c>
      <c r="H515" t="s">
        <v>37</v>
      </c>
      <c r="I515" t="s">
        <v>98</v>
      </c>
      <c r="J515" t="s">
        <v>32</v>
      </c>
      <c r="K515" t="s">
        <v>18</v>
      </c>
    </row>
    <row r="516" spans="1:11">
      <c r="A516" t="s">
        <v>754</v>
      </c>
      <c r="B516" t="s">
        <v>167</v>
      </c>
      <c r="C516" t="s">
        <v>80</v>
      </c>
      <c r="D516" t="s">
        <v>81</v>
      </c>
      <c r="E516">
        <v>299</v>
      </c>
      <c r="F516">
        <v>3</v>
      </c>
      <c r="G516">
        <v>897</v>
      </c>
      <c r="H516" t="s">
        <v>56</v>
      </c>
      <c r="I516" t="s">
        <v>57</v>
      </c>
      <c r="J516" t="s">
        <v>38</v>
      </c>
      <c r="K516" t="s">
        <v>18</v>
      </c>
    </row>
    <row r="517" spans="1:11">
      <c r="A517" t="s">
        <v>755</v>
      </c>
      <c r="B517" t="s">
        <v>179</v>
      </c>
      <c r="C517" t="s">
        <v>135</v>
      </c>
      <c r="D517" t="s">
        <v>29</v>
      </c>
      <c r="E517">
        <v>3999</v>
      </c>
      <c r="F517">
        <v>3</v>
      </c>
      <c r="G517">
        <v>11997</v>
      </c>
      <c r="H517" t="s">
        <v>15</v>
      </c>
      <c r="I517" t="s">
        <v>67</v>
      </c>
      <c r="J517" t="s">
        <v>90</v>
      </c>
      <c r="K517" t="s">
        <v>18</v>
      </c>
    </row>
    <row r="518" spans="1:11">
      <c r="A518" t="s">
        <v>756</v>
      </c>
      <c r="B518" t="s">
        <v>177</v>
      </c>
      <c r="C518" t="s">
        <v>76</v>
      </c>
      <c r="D518" t="s">
        <v>49</v>
      </c>
      <c r="E518">
        <v>1599</v>
      </c>
      <c r="F518">
        <v>5</v>
      </c>
      <c r="G518">
        <v>7995</v>
      </c>
      <c r="H518" t="s">
        <v>43</v>
      </c>
      <c r="I518" t="s">
        <v>16</v>
      </c>
      <c r="J518" t="s">
        <v>38</v>
      </c>
      <c r="K518" t="s">
        <v>18</v>
      </c>
    </row>
    <row r="519" spans="1:11">
      <c r="A519" t="s">
        <v>757</v>
      </c>
      <c r="B519" t="s">
        <v>408</v>
      </c>
      <c r="C519" t="s">
        <v>162</v>
      </c>
      <c r="D519" t="s">
        <v>29</v>
      </c>
      <c r="E519">
        <v>1799</v>
      </c>
      <c r="F519">
        <v>1</v>
      </c>
      <c r="G519">
        <v>1799</v>
      </c>
      <c r="H519" t="s">
        <v>66</v>
      </c>
      <c r="I519" t="s">
        <v>16</v>
      </c>
      <c r="J519" t="s">
        <v>90</v>
      </c>
      <c r="K519" t="s">
        <v>45</v>
      </c>
    </row>
    <row r="520" spans="1:11">
      <c r="A520" t="s">
        <v>758</v>
      </c>
      <c r="B520" t="s">
        <v>329</v>
      </c>
      <c r="C520" t="s">
        <v>28</v>
      </c>
      <c r="D520" t="s">
        <v>29</v>
      </c>
      <c r="E520">
        <v>1299</v>
      </c>
      <c r="F520">
        <v>3</v>
      </c>
      <c r="G520">
        <v>3897</v>
      </c>
      <c r="H520" t="s">
        <v>71</v>
      </c>
      <c r="I520" t="s">
        <v>82</v>
      </c>
      <c r="J520" t="s">
        <v>25</v>
      </c>
      <c r="K520" t="s">
        <v>18</v>
      </c>
    </row>
    <row r="521" spans="1:11">
      <c r="A521" t="s">
        <v>759</v>
      </c>
      <c r="B521" t="s">
        <v>164</v>
      </c>
      <c r="C521" t="s">
        <v>36</v>
      </c>
      <c r="D521" t="s">
        <v>29</v>
      </c>
      <c r="E521">
        <v>1999</v>
      </c>
      <c r="F521">
        <v>4</v>
      </c>
      <c r="G521">
        <v>7996</v>
      </c>
      <c r="H521" t="s">
        <v>56</v>
      </c>
      <c r="I521" t="s">
        <v>63</v>
      </c>
      <c r="J521" t="s">
        <v>90</v>
      </c>
      <c r="K521" t="s">
        <v>18</v>
      </c>
    </row>
    <row r="522" spans="1:11">
      <c r="A522" t="s">
        <v>760</v>
      </c>
      <c r="B522" t="s">
        <v>231</v>
      </c>
      <c r="C522" t="s">
        <v>48</v>
      </c>
      <c r="D522" t="s">
        <v>49</v>
      </c>
      <c r="E522">
        <v>699</v>
      </c>
      <c r="F522">
        <v>5</v>
      </c>
      <c r="G522">
        <v>3495</v>
      </c>
      <c r="H522" t="s">
        <v>23</v>
      </c>
      <c r="I522" t="s">
        <v>125</v>
      </c>
      <c r="J522" t="s">
        <v>32</v>
      </c>
      <c r="K522" t="s">
        <v>18</v>
      </c>
    </row>
    <row r="523" spans="1:11">
      <c r="A523" t="s">
        <v>761</v>
      </c>
      <c r="B523" t="s">
        <v>167</v>
      </c>
      <c r="C523" t="s">
        <v>122</v>
      </c>
      <c r="D523" t="s">
        <v>29</v>
      </c>
      <c r="E523">
        <v>1299</v>
      </c>
      <c r="F523">
        <v>5</v>
      </c>
      <c r="G523">
        <v>6495</v>
      </c>
      <c r="H523" t="s">
        <v>102</v>
      </c>
      <c r="I523" t="s">
        <v>24</v>
      </c>
      <c r="J523" t="s">
        <v>90</v>
      </c>
      <c r="K523" t="s">
        <v>18</v>
      </c>
    </row>
    <row r="524" spans="1:11">
      <c r="A524" t="s">
        <v>762</v>
      </c>
      <c r="B524" t="s">
        <v>221</v>
      </c>
      <c r="C524" t="s">
        <v>60</v>
      </c>
      <c r="D524" t="s">
        <v>61</v>
      </c>
      <c r="E524">
        <v>899</v>
      </c>
      <c r="F524">
        <v>5</v>
      </c>
      <c r="G524">
        <v>4495</v>
      </c>
      <c r="H524" t="s">
        <v>102</v>
      </c>
      <c r="I524" t="s">
        <v>98</v>
      </c>
      <c r="J524" t="s">
        <v>90</v>
      </c>
      <c r="K524" t="s">
        <v>18</v>
      </c>
    </row>
    <row r="525" spans="1:11">
      <c r="A525" t="s">
        <v>763</v>
      </c>
      <c r="B525" t="s">
        <v>445</v>
      </c>
      <c r="C525" t="s">
        <v>21</v>
      </c>
      <c r="D525" t="s">
        <v>22</v>
      </c>
      <c r="E525">
        <v>1499</v>
      </c>
      <c r="F525">
        <v>3</v>
      </c>
      <c r="G525">
        <v>4497</v>
      </c>
      <c r="H525" t="s">
        <v>37</v>
      </c>
      <c r="I525" t="s">
        <v>16</v>
      </c>
      <c r="J525" t="s">
        <v>32</v>
      </c>
      <c r="K525" t="s">
        <v>45</v>
      </c>
    </row>
    <row r="526" spans="1:11">
      <c r="A526" t="s">
        <v>764</v>
      </c>
      <c r="B526" t="s">
        <v>84</v>
      </c>
      <c r="C526" t="s">
        <v>21</v>
      </c>
      <c r="D526" t="s">
        <v>22</v>
      </c>
      <c r="E526">
        <v>1499</v>
      </c>
      <c r="F526">
        <v>2</v>
      </c>
      <c r="G526">
        <v>2998</v>
      </c>
      <c r="H526" t="s">
        <v>23</v>
      </c>
      <c r="I526" t="s">
        <v>82</v>
      </c>
      <c r="J526" t="s">
        <v>90</v>
      </c>
      <c r="K526" t="s">
        <v>18</v>
      </c>
    </row>
    <row r="527" spans="1:11">
      <c r="A527" t="s">
        <v>765</v>
      </c>
      <c r="B527" t="s">
        <v>303</v>
      </c>
      <c r="C527" t="s">
        <v>52</v>
      </c>
      <c r="D527" t="s">
        <v>53</v>
      </c>
      <c r="E527">
        <v>199</v>
      </c>
      <c r="F527">
        <v>1</v>
      </c>
      <c r="G527">
        <v>199</v>
      </c>
      <c r="H527" t="s">
        <v>119</v>
      </c>
      <c r="I527" t="s">
        <v>63</v>
      </c>
      <c r="J527" t="s">
        <v>90</v>
      </c>
      <c r="K527" t="s">
        <v>18</v>
      </c>
    </row>
    <row r="528" spans="1:11">
      <c r="A528" t="s">
        <v>766</v>
      </c>
      <c r="B528" t="s">
        <v>219</v>
      </c>
      <c r="C528" t="s">
        <v>87</v>
      </c>
      <c r="D528" t="s">
        <v>88</v>
      </c>
      <c r="E528">
        <v>5499</v>
      </c>
      <c r="F528">
        <v>5</v>
      </c>
      <c r="G528">
        <v>27495</v>
      </c>
      <c r="H528" t="s">
        <v>23</v>
      </c>
      <c r="I528" t="s">
        <v>31</v>
      </c>
      <c r="J528" t="s">
        <v>17</v>
      </c>
      <c r="K528" t="s">
        <v>18</v>
      </c>
    </row>
    <row r="529" spans="1:11">
      <c r="A529" t="s">
        <v>767</v>
      </c>
      <c r="B529" t="s">
        <v>387</v>
      </c>
      <c r="C529" t="s">
        <v>135</v>
      </c>
      <c r="D529" t="s">
        <v>29</v>
      </c>
      <c r="E529">
        <v>3999</v>
      </c>
      <c r="F529">
        <v>3</v>
      </c>
      <c r="G529">
        <v>11997</v>
      </c>
      <c r="H529" t="s">
        <v>15</v>
      </c>
      <c r="I529" t="s">
        <v>77</v>
      </c>
      <c r="J529" t="s">
        <v>32</v>
      </c>
      <c r="K529" t="s">
        <v>18</v>
      </c>
    </row>
    <row r="530" spans="1:11">
      <c r="A530" t="s">
        <v>768</v>
      </c>
      <c r="B530" t="s">
        <v>274</v>
      </c>
      <c r="C530" t="s">
        <v>13</v>
      </c>
      <c r="D530" t="s">
        <v>14</v>
      </c>
      <c r="E530">
        <v>2499</v>
      </c>
      <c r="F530">
        <v>2</v>
      </c>
      <c r="G530">
        <v>4998</v>
      </c>
      <c r="H530" t="s">
        <v>66</v>
      </c>
      <c r="I530" t="s">
        <v>24</v>
      </c>
      <c r="J530" t="s">
        <v>38</v>
      </c>
      <c r="K530" t="s">
        <v>18</v>
      </c>
    </row>
    <row r="531" spans="1:11">
      <c r="A531" t="s">
        <v>769</v>
      </c>
      <c r="B531" t="s">
        <v>86</v>
      </c>
      <c r="C531" t="s">
        <v>87</v>
      </c>
      <c r="D531" t="s">
        <v>88</v>
      </c>
      <c r="E531">
        <v>5499</v>
      </c>
      <c r="F531">
        <v>2</v>
      </c>
      <c r="G531">
        <v>10998</v>
      </c>
      <c r="H531" t="s">
        <v>95</v>
      </c>
      <c r="I531" t="s">
        <v>57</v>
      </c>
      <c r="J531" t="s">
        <v>25</v>
      </c>
      <c r="K531" t="s">
        <v>18</v>
      </c>
    </row>
    <row r="532" spans="1:11">
      <c r="A532" t="s">
        <v>770</v>
      </c>
      <c r="B532" t="s">
        <v>164</v>
      </c>
      <c r="C532" t="s">
        <v>70</v>
      </c>
      <c r="D532" t="s">
        <v>29</v>
      </c>
      <c r="E532">
        <v>799</v>
      </c>
      <c r="F532">
        <v>2</v>
      </c>
      <c r="G532">
        <v>1598</v>
      </c>
      <c r="H532" t="s">
        <v>56</v>
      </c>
      <c r="I532" t="s">
        <v>63</v>
      </c>
      <c r="J532" t="s">
        <v>25</v>
      </c>
      <c r="K532" t="s">
        <v>18</v>
      </c>
    </row>
    <row r="533" spans="1:11">
      <c r="A533" t="s">
        <v>771</v>
      </c>
      <c r="B533" t="s">
        <v>192</v>
      </c>
      <c r="C533" t="s">
        <v>80</v>
      </c>
      <c r="D533" t="s">
        <v>81</v>
      </c>
      <c r="E533">
        <v>299</v>
      </c>
      <c r="F533">
        <v>4</v>
      </c>
      <c r="G533">
        <v>1196</v>
      </c>
      <c r="H533" t="s">
        <v>15</v>
      </c>
      <c r="I533" t="s">
        <v>24</v>
      </c>
      <c r="J533" t="s">
        <v>17</v>
      </c>
      <c r="K533" t="s">
        <v>18</v>
      </c>
    </row>
    <row r="534" spans="1:11">
      <c r="A534" t="s">
        <v>772</v>
      </c>
      <c r="B534" t="s">
        <v>633</v>
      </c>
      <c r="C534" t="s">
        <v>87</v>
      </c>
      <c r="D534" t="s">
        <v>88</v>
      </c>
      <c r="E534">
        <v>5499</v>
      </c>
      <c r="F534">
        <v>5</v>
      </c>
      <c r="G534">
        <v>27495</v>
      </c>
      <c r="H534" t="s">
        <v>56</v>
      </c>
      <c r="I534" t="s">
        <v>82</v>
      </c>
      <c r="J534" t="s">
        <v>25</v>
      </c>
      <c r="K534" t="s">
        <v>33</v>
      </c>
    </row>
    <row r="535" spans="1:11">
      <c r="A535" t="s">
        <v>773</v>
      </c>
      <c r="B535" t="s">
        <v>250</v>
      </c>
      <c r="C535" t="s">
        <v>80</v>
      </c>
      <c r="D535" t="s">
        <v>81</v>
      </c>
      <c r="E535">
        <v>299</v>
      </c>
      <c r="F535">
        <v>4</v>
      </c>
      <c r="G535">
        <v>1196</v>
      </c>
      <c r="H535" t="s">
        <v>37</v>
      </c>
      <c r="I535" t="s">
        <v>24</v>
      </c>
      <c r="J535" t="s">
        <v>32</v>
      </c>
      <c r="K535" t="s">
        <v>33</v>
      </c>
    </row>
    <row r="536" spans="1:11">
      <c r="A536" t="s">
        <v>774</v>
      </c>
      <c r="B536" t="s">
        <v>205</v>
      </c>
      <c r="C536" t="s">
        <v>87</v>
      </c>
      <c r="D536" t="s">
        <v>88</v>
      </c>
      <c r="E536">
        <v>5499</v>
      </c>
      <c r="F536">
        <v>2</v>
      </c>
      <c r="G536">
        <v>10998</v>
      </c>
      <c r="H536" t="s">
        <v>186</v>
      </c>
      <c r="I536" t="s">
        <v>77</v>
      </c>
      <c r="J536" t="s">
        <v>38</v>
      </c>
      <c r="K536" t="s">
        <v>18</v>
      </c>
    </row>
    <row r="537" spans="1:11">
      <c r="A537" t="s">
        <v>775</v>
      </c>
      <c r="B537" t="s">
        <v>429</v>
      </c>
      <c r="C537" t="s">
        <v>70</v>
      </c>
      <c r="D537" t="s">
        <v>29</v>
      </c>
      <c r="E537">
        <v>799</v>
      </c>
      <c r="F537">
        <v>1</v>
      </c>
      <c r="G537">
        <v>799</v>
      </c>
      <c r="H537" t="s">
        <v>37</v>
      </c>
      <c r="I537" t="s">
        <v>125</v>
      </c>
      <c r="J537" t="s">
        <v>25</v>
      </c>
      <c r="K537" t="s">
        <v>45</v>
      </c>
    </row>
    <row r="538" spans="1:11">
      <c r="A538" t="s">
        <v>776</v>
      </c>
      <c r="B538" t="s">
        <v>205</v>
      </c>
      <c r="C538" t="s">
        <v>135</v>
      </c>
      <c r="D538" t="s">
        <v>29</v>
      </c>
      <c r="E538">
        <v>3999</v>
      </c>
      <c r="F538">
        <v>2</v>
      </c>
      <c r="G538">
        <v>7998</v>
      </c>
      <c r="H538" t="s">
        <v>66</v>
      </c>
      <c r="I538" t="s">
        <v>16</v>
      </c>
      <c r="J538" t="s">
        <v>25</v>
      </c>
      <c r="K538" t="s">
        <v>18</v>
      </c>
    </row>
    <row r="539" spans="1:11">
      <c r="A539" t="s">
        <v>777</v>
      </c>
      <c r="B539" t="s">
        <v>130</v>
      </c>
      <c r="C539" t="s">
        <v>48</v>
      </c>
      <c r="D539" t="s">
        <v>49</v>
      </c>
      <c r="E539">
        <v>699</v>
      </c>
      <c r="F539">
        <v>2</v>
      </c>
      <c r="G539">
        <v>1398</v>
      </c>
      <c r="H539" t="s">
        <v>56</v>
      </c>
      <c r="I539" t="s">
        <v>98</v>
      </c>
      <c r="J539" t="s">
        <v>90</v>
      </c>
      <c r="K539" t="s">
        <v>33</v>
      </c>
    </row>
    <row r="540" spans="1:11">
      <c r="A540" t="s">
        <v>778</v>
      </c>
      <c r="B540" t="s">
        <v>335</v>
      </c>
      <c r="C540" t="s">
        <v>101</v>
      </c>
      <c r="D540" t="s">
        <v>81</v>
      </c>
      <c r="E540">
        <v>499</v>
      </c>
      <c r="F540">
        <v>2</v>
      </c>
      <c r="G540">
        <v>998</v>
      </c>
      <c r="H540" t="s">
        <v>95</v>
      </c>
      <c r="I540" t="s">
        <v>31</v>
      </c>
      <c r="J540" t="s">
        <v>32</v>
      </c>
      <c r="K540" t="s">
        <v>18</v>
      </c>
    </row>
    <row r="541" spans="1:11">
      <c r="A541" t="s">
        <v>779</v>
      </c>
      <c r="B541" t="s">
        <v>279</v>
      </c>
      <c r="C541" t="s">
        <v>101</v>
      </c>
      <c r="D541" t="s">
        <v>81</v>
      </c>
      <c r="E541">
        <v>499</v>
      </c>
      <c r="F541">
        <v>5</v>
      </c>
      <c r="G541">
        <v>2495</v>
      </c>
      <c r="H541" t="s">
        <v>157</v>
      </c>
      <c r="I541" t="s">
        <v>67</v>
      </c>
      <c r="J541" t="s">
        <v>25</v>
      </c>
      <c r="K541" t="s">
        <v>45</v>
      </c>
    </row>
    <row r="542" spans="1:11">
      <c r="A542" t="s">
        <v>780</v>
      </c>
      <c r="B542" t="s">
        <v>276</v>
      </c>
      <c r="C542" t="s">
        <v>76</v>
      </c>
      <c r="D542" t="s">
        <v>49</v>
      </c>
      <c r="E542">
        <v>1599</v>
      </c>
      <c r="F542">
        <v>2</v>
      </c>
      <c r="G542">
        <v>3198</v>
      </c>
      <c r="H542" t="s">
        <v>30</v>
      </c>
      <c r="I542" t="s">
        <v>63</v>
      </c>
      <c r="J542" t="s">
        <v>90</v>
      </c>
      <c r="K542" t="s">
        <v>18</v>
      </c>
    </row>
    <row r="543" spans="1:11">
      <c r="A543" t="s">
        <v>781</v>
      </c>
      <c r="B543" t="s">
        <v>179</v>
      </c>
      <c r="C543" t="s">
        <v>48</v>
      </c>
      <c r="D543" t="s">
        <v>49</v>
      </c>
      <c r="E543">
        <v>699</v>
      </c>
      <c r="F543">
        <v>4</v>
      </c>
      <c r="G543">
        <v>2796</v>
      </c>
      <c r="H543" t="s">
        <v>186</v>
      </c>
      <c r="I543" t="s">
        <v>63</v>
      </c>
      <c r="J543" t="s">
        <v>90</v>
      </c>
      <c r="K543" t="s">
        <v>18</v>
      </c>
    </row>
    <row r="544" spans="1:11">
      <c r="A544" t="s">
        <v>782</v>
      </c>
      <c r="B544" t="s">
        <v>373</v>
      </c>
      <c r="C544" t="s">
        <v>80</v>
      </c>
      <c r="D544" t="s">
        <v>81</v>
      </c>
      <c r="E544">
        <v>299</v>
      </c>
      <c r="F544">
        <v>5</v>
      </c>
      <c r="G544">
        <v>1495</v>
      </c>
      <c r="H544" t="s">
        <v>102</v>
      </c>
      <c r="I544" t="s">
        <v>125</v>
      </c>
      <c r="J544" t="s">
        <v>38</v>
      </c>
      <c r="K544" t="s">
        <v>45</v>
      </c>
    </row>
    <row r="545" spans="1:11">
      <c r="A545" t="s">
        <v>783</v>
      </c>
      <c r="B545" t="s">
        <v>343</v>
      </c>
      <c r="C545" t="s">
        <v>122</v>
      </c>
      <c r="D545" t="s">
        <v>29</v>
      </c>
      <c r="E545">
        <v>1299</v>
      </c>
      <c r="F545">
        <v>1</v>
      </c>
      <c r="G545">
        <v>1299</v>
      </c>
      <c r="H545" t="s">
        <v>89</v>
      </c>
      <c r="I545" t="s">
        <v>57</v>
      </c>
      <c r="J545" t="s">
        <v>90</v>
      </c>
      <c r="K545" t="s">
        <v>18</v>
      </c>
    </row>
    <row r="546" spans="1:11">
      <c r="A546" t="s">
        <v>784</v>
      </c>
      <c r="B546" t="s">
        <v>200</v>
      </c>
      <c r="C546" t="s">
        <v>28</v>
      </c>
      <c r="D546" t="s">
        <v>29</v>
      </c>
      <c r="E546">
        <v>1299</v>
      </c>
      <c r="F546">
        <v>2</v>
      </c>
      <c r="G546">
        <v>2598</v>
      </c>
      <c r="H546" t="s">
        <v>102</v>
      </c>
      <c r="I546" t="s">
        <v>44</v>
      </c>
      <c r="J546" t="s">
        <v>32</v>
      </c>
      <c r="K546" t="s">
        <v>18</v>
      </c>
    </row>
    <row r="547" spans="1:11">
      <c r="A547" t="s">
        <v>785</v>
      </c>
      <c r="B547" t="s">
        <v>27</v>
      </c>
      <c r="C547" t="s">
        <v>70</v>
      </c>
      <c r="D547" t="s">
        <v>29</v>
      </c>
      <c r="E547">
        <v>799</v>
      </c>
      <c r="F547">
        <v>1</v>
      </c>
      <c r="G547">
        <v>799</v>
      </c>
      <c r="H547" t="s">
        <v>15</v>
      </c>
      <c r="I547" t="s">
        <v>125</v>
      </c>
      <c r="J547" t="s">
        <v>90</v>
      </c>
      <c r="K547" t="s">
        <v>18</v>
      </c>
    </row>
    <row r="548" spans="1:11">
      <c r="A548" t="s">
        <v>786</v>
      </c>
      <c r="B548" t="s">
        <v>177</v>
      </c>
      <c r="C548" t="s">
        <v>122</v>
      </c>
      <c r="D548" t="s">
        <v>29</v>
      </c>
      <c r="E548">
        <v>1299</v>
      </c>
      <c r="F548">
        <v>2</v>
      </c>
      <c r="G548">
        <v>2598</v>
      </c>
      <c r="H548" t="s">
        <v>66</v>
      </c>
      <c r="I548" t="s">
        <v>44</v>
      </c>
      <c r="J548" t="s">
        <v>90</v>
      </c>
      <c r="K548" t="s">
        <v>45</v>
      </c>
    </row>
    <row r="549" spans="1:11">
      <c r="A549" t="s">
        <v>787</v>
      </c>
      <c r="B549" t="s">
        <v>132</v>
      </c>
      <c r="C549" t="s">
        <v>21</v>
      </c>
      <c r="D549" t="s">
        <v>22</v>
      </c>
      <c r="E549">
        <v>1499</v>
      </c>
      <c r="F549">
        <v>2</v>
      </c>
      <c r="G549">
        <v>2998</v>
      </c>
      <c r="H549" t="s">
        <v>157</v>
      </c>
      <c r="I549" t="s">
        <v>67</v>
      </c>
      <c r="J549" t="s">
        <v>32</v>
      </c>
      <c r="K549" t="s">
        <v>33</v>
      </c>
    </row>
    <row r="550" spans="1:11">
      <c r="A550" t="s">
        <v>788</v>
      </c>
      <c r="B550" t="s">
        <v>219</v>
      </c>
      <c r="C550" t="s">
        <v>60</v>
      </c>
      <c r="D550" t="s">
        <v>61</v>
      </c>
      <c r="E550">
        <v>899</v>
      </c>
      <c r="F550">
        <v>4</v>
      </c>
      <c r="G550">
        <v>3596</v>
      </c>
      <c r="H550" t="s">
        <v>30</v>
      </c>
      <c r="I550" t="s">
        <v>31</v>
      </c>
      <c r="J550" t="s">
        <v>17</v>
      </c>
      <c r="K550" t="s">
        <v>18</v>
      </c>
    </row>
    <row r="551" spans="1:11">
      <c r="A551" t="s">
        <v>789</v>
      </c>
      <c r="B551" t="s">
        <v>485</v>
      </c>
      <c r="C551" t="s">
        <v>101</v>
      </c>
      <c r="D551" t="s">
        <v>81</v>
      </c>
      <c r="E551">
        <v>499</v>
      </c>
      <c r="F551">
        <v>1</v>
      </c>
      <c r="G551">
        <v>499</v>
      </c>
      <c r="H551" t="s">
        <v>89</v>
      </c>
      <c r="I551" t="s">
        <v>67</v>
      </c>
      <c r="J551" t="s">
        <v>25</v>
      </c>
      <c r="K551" t="s">
        <v>18</v>
      </c>
    </row>
    <row r="552" spans="1:11">
      <c r="A552" t="s">
        <v>790</v>
      </c>
      <c r="B552" t="s">
        <v>100</v>
      </c>
      <c r="C552" t="s">
        <v>162</v>
      </c>
      <c r="D552" t="s">
        <v>29</v>
      </c>
      <c r="E552">
        <v>1799</v>
      </c>
      <c r="F552">
        <v>5</v>
      </c>
      <c r="G552">
        <v>8995</v>
      </c>
      <c r="H552" t="s">
        <v>71</v>
      </c>
      <c r="I552" t="s">
        <v>63</v>
      </c>
      <c r="J552" t="s">
        <v>90</v>
      </c>
      <c r="K552" t="s">
        <v>45</v>
      </c>
    </row>
    <row r="553" spans="1:11">
      <c r="A553" t="s">
        <v>791</v>
      </c>
      <c r="B553" t="s">
        <v>260</v>
      </c>
      <c r="C553" t="s">
        <v>21</v>
      </c>
      <c r="D553" t="s">
        <v>22</v>
      </c>
      <c r="E553">
        <v>1499</v>
      </c>
      <c r="F553">
        <v>1</v>
      </c>
      <c r="G553">
        <v>1499</v>
      </c>
      <c r="H553" t="s">
        <v>71</v>
      </c>
      <c r="I553" t="s">
        <v>82</v>
      </c>
      <c r="J553" t="s">
        <v>90</v>
      </c>
      <c r="K553" t="s">
        <v>18</v>
      </c>
    </row>
    <row r="554" spans="1:11">
      <c r="A554" t="s">
        <v>792</v>
      </c>
      <c r="B554" t="s">
        <v>20</v>
      </c>
      <c r="C554" t="s">
        <v>135</v>
      </c>
      <c r="D554" t="s">
        <v>29</v>
      </c>
      <c r="E554">
        <v>3999</v>
      </c>
      <c r="F554">
        <v>5</v>
      </c>
      <c r="G554">
        <v>19995</v>
      </c>
      <c r="H554" t="s">
        <v>23</v>
      </c>
      <c r="I554" t="s">
        <v>98</v>
      </c>
      <c r="J554" t="s">
        <v>17</v>
      </c>
      <c r="K554" t="s">
        <v>33</v>
      </c>
    </row>
    <row r="555" spans="1:11">
      <c r="A555" t="s">
        <v>793</v>
      </c>
      <c r="B555" t="s">
        <v>55</v>
      </c>
      <c r="C555" t="s">
        <v>48</v>
      </c>
      <c r="D555" t="s">
        <v>49</v>
      </c>
      <c r="E555">
        <v>699</v>
      </c>
      <c r="F555">
        <v>3</v>
      </c>
      <c r="G555">
        <v>2097</v>
      </c>
      <c r="H555" t="s">
        <v>37</v>
      </c>
      <c r="I555" t="s">
        <v>77</v>
      </c>
      <c r="J555" t="s">
        <v>25</v>
      </c>
      <c r="K555" t="s">
        <v>45</v>
      </c>
    </row>
    <row r="556" spans="1:11">
      <c r="A556" t="s">
        <v>794</v>
      </c>
      <c r="B556" t="s">
        <v>682</v>
      </c>
      <c r="C556" t="s">
        <v>101</v>
      </c>
      <c r="D556" t="s">
        <v>81</v>
      </c>
      <c r="E556">
        <v>499</v>
      </c>
      <c r="F556">
        <v>1</v>
      </c>
      <c r="G556">
        <v>499</v>
      </c>
      <c r="H556" t="s">
        <v>66</v>
      </c>
      <c r="I556" t="s">
        <v>105</v>
      </c>
      <c r="J556" t="s">
        <v>25</v>
      </c>
      <c r="K556" t="s">
        <v>18</v>
      </c>
    </row>
    <row r="557" spans="1:11">
      <c r="A557" t="s">
        <v>795</v>
      </c>
      <c r="B557" t="s">
        <v>402</v>
      </c>
      <c r="C557" t="s">
        <v>80</v>
      </c>
      <c r="D557" t="s">
        <v>81</v>
      </c>
      <c r="E557">
        <v>299</v>
      </c>
      <c r="F557">
        <v>1</v>
      </c>
      <c r="G557">
        <v>299</v>
      </c>
      <c r="H557" t="s">
        <v>37</v>
      </c>
      <c r="I557" t="s">
        <v>63</v>
      </c>
      <c r="J557" t="s">
        <v>90</v>
      </c>
      <c r="K557" t="s">
        <v>45</v>
      </c>
    </row>
    <row r="558" spans="1:11">
      <c r="A558" t="s">
        <v>796</v>
      </c>
      <c r="B558" t="s">
        <v>709</v>
      </c>
      <c r="C558" t="s">
        <v>21</v>
      </c>
      <c r="D558" t="s">
        <v>22</v>
      </c>
      <c r="E558">
        <v>1499</v>
      </c>
      <c r="F558">
        <v>2</v>
      </c>
      <c r="G558">
        <v>2998</v>
      </c>
      <c r="H558" t="s">
        <v>56</v>
      </c>
      <c r="I558" t="s">
        <v>67</v>
      </c>
      <c r="J558" t="s">
        <v>32</v>
      </c>
      <c r="K558" t="s">
        <v>18</v>
      </c>
    </row>
    <row r="559" spans="1:11">
      <c r="A559" t="s">
        <v>797</v>
      </c>
      <c r="B559" t="s">
        <v>381</v>
      </c>
      <c r="C559" t="s">
        <v>21</v>
      </c>
      <c r="D559" t="s">
        <v>22</v>
      </c>
      <c r="E559">
        <v>1499</v>
      </c>
      <c r="F559">
        <v>5</v>
      </c>
      <c r="G559">
        <v>7495</v>
      </c>
      <c r="H559" t="s">
        <v>30</v>
      </c>
      <c r="I559" t="s">
        <v>63</v>
      </c>
      <c r="J559" t="s">
        <v>32</v>
      </c>
      <c r="K559" t="s">
        <v>18</v>
      </c>
    </row>
    <row r="560" spans="1:11">
      <c r="A560" t="s">
        <v>798</v>
      </c>
      <c r="B560" t="s">
        <v>502</v>
      </c>
      <c r="C560" t="s">
        <v>21</v>
      </c>
      <c r="D560" t="s">
        <v>22</v>
      </c>
      <c r="E560">
        <v>1499</v>
      </c>
      <c r="F560">
        <v>4</v>
      </c>
      <c r="G560">
        <v>5996</v>
      </c>
      <c r="H560" t="s">
        <v>62</v>
      </c>
      <c r="I560" t="s">
        <v>77</v>
      </c>
      <c r="J560" t="s">
        <v>25</v>
      </c>
      <c r="K560" t="s">
        <v>18</v>
      </c>
    </row>
    <row r="561" spans="1:11">
      <c r="A561" t="s">
        <v>799</v>
      </c>
      <c r="B561" t="s">
        <v>398</v>
      </c>
      <c r="C561" t="s">
        <v>60</v>
      </c>
      <c r="D561" t="s">
        <v>61</v>
      </c>
      <c r="E561">
        <v>899</v>
      </c>
      <c r="F561">
        <v>2</v>
      </c>
      <c r="G561">
        <v>1798</v>
      </c>
      <c r="H561" t="s">
        <v>23</v>
      </c>
      <c r="I561" t="s">
        <v>63</v>
      </c>
      <c r="J561" t="s">
        <v>90</v>
      </c>
      <c r="K561" t="s">
        <v>18</v>
      </c>
    </row>
    <row r="562" spans="1:11">
      <c r="A562" t="s">
        <v>800</v>
      </c>
      <c r="B562" t="s">
        <v>150</v>
      </c>
      <c r="C562" t="s">
        <v>101</v>
      </c>
      <c r="D562" t="s">
        <v>81</v>
      </c>
      <c r="E562">
        <v>499</v>
      </c>
      <c r="F562">
        <v>2</v>
      </c>
      <c r="G562">
        <v>998</v>
      </c>
      <c r="H562" t="s">
        <v>23</v>
      </c>
      <c r="I562" t="s">
        <v>24</v>
      </c>
      <c r="J562" t="s">
        <v>17</v>
      </c>
      <c r="K562" t="s">
        <v>18</v>
      </c>
    </row>
    <row r="563" spans="1:11">
      <c r="A563" t="s">
        <v>801</v>
      </c>
      <c r="B563" t="s">
        <v>510</v>
      </c>
      <c r="C563" t="s">
        <v>28</v>
      </c>
      <c r="D563" t="s">
        <v>29</v>
      </c>
      <c r="E563">
        <v>1299</v>
      </c>
      <c r="F563">
        <v>4</v>
      </c>
      <c r="G563">
        <v>5196</v>
      </c>
      <c r="H563" t="s">
        <v>62</v>
      </c>
      <c r="I563" t="s">
        <v>63</v>
      </c>
      <c r="J563" t="s">
        <v>32</v>
      </c>
      <c r="K563" t="s">
        <v>45</v>
      </c>
    </row>
    <row r="564" spans="1:11">
      <c r="A564" t="s">
        <v>802</v>
      </c>
      <c r="B564" t="s">
        <v>354</v>
      </c>
      <c r="C564" t="s">
        <v>60</v>
      </c>
      <c r="D564" t="s">
        <v>61</v>
      </c>
      <c r="E564">
        <v>899</v>
      </c>
      <c r="F564">
        <v>1</v>
      </c>
      <c r="G564">
        <v>899</v>
      </c>
      <c r="H564" t="s">
        <v>157</v>
      </c>
      <c r="I564" t="s">
        <v>105</v>
      </c>
      <c r="J564" t="s">
        <v>25</v>
      </c>
      <c r="K564" t="s">
        <v>18</v>
      </c>
    </row>
    <row r="565" spans="1:11">
      <c r="A565" t="s">
        <v>803</v>
      </c>
      <c r="B565" t="s">
        <v>75</v>
      </c>
      <c r="C565" t="s">
        <v>76</v>
      </c>
      <c r="D565" t="s">
        <v>49</v>
      </c>
      <c r="E565">
        <v>1599</v>
      </c>
      <c r="F565">
        <v>5</v>
      </c>
      <c r="G565">
        <v>7995</v>
      </c>
      <c r="H565" t="s">
        <v>102</v>
      </c>
      <c r="I565" t="s">
        <v>82</v>
      </c>
      <c r="J565" t="s">
        <v>17</v>
      </c>
      <c r="K565" t="s">
        <v>45</v>
      </c>
    </row>
    <row r="566" spans="1:11">
      <c r="A566" t="s">
        <v>804</v>
      </c>
      <c r="B566" t="s">
        <v>281</v>
      </c>
      <c r="C566" t="s">
        <v>76</v>
      </c>
      <c r="D566" t="s">
        <v>49</v>
      </c>
      <c r="E566">
        <v>1599</v>
      </c>
      <c r="F566">
        <v>3</v>
      </c>
      <c r="G566">
        <v>4797</v>
      </c>
      <c r="H566" t="s">
        <v>23</v>
      </c>
      <c r="I566" t="s">
        <v>82</v>
      </c>
      <c r="J566" t="s">
        <v>90</v>
      </c>
      <c r="K566" t="s">
        <v>18</v>
      </c>
    </row>
    <row r="567" spans="1:11">
      <c r="A567" t="s">
        <v>805</v>
      </c>
      <c r="B567" t="s">
        <v>502</v>
      </c>
      <c r="C567" t="s">
        <v>21</v>
      </c>
      <c r="D567" t="s">
        <v>22</v>
      </c>
      <c r="E567">
        <v>1499</v>
      </c>
      <c r="F567">
        <v>2</v>
      </c>
      <c r="G567">
        <v>2998</v>
      </c>
      <c r="H567" t="s">
        <v>30</v>
      </c>
      <c r="I567" t="s">
        <v>63</v>
      </c>
      <c r="J567" t="s">
        <v>32</v>
      </c>
      <c r="K567" t="s">
        <v>45</v>
      </c>
    </row>
    <row r="568" spans="1:11">
      <c r="A568" t="s">
        <v>806</v>
      </c>
      <c r="B568" t="s">
        <v>196</v>
      </c>
      <c r="C568" t="s">
        <v>60</v>
      </c>
      <c r="D568" t="s">
        <v>61</v>
      </c>
      <c r="E568">
        <v>899</v>
      </c>
      <c r="F568">
        <v>3</v>
      </c>
      <c r="G568">
        <v>2697</v>
      </c>
      <c r="H568" t="s">
        <v>30</v>
      </c>
      <c r="I568" t="s">
        <v>44</v>
      </c>
      <c r="J568" t="s">
        <v>25</v>
      </c>
      <c r="K568" t="s">
        <v>45</v>
      </c>
    </row>
    <row r="569" spans="1:11">
      <c r="A569" t="s">
        <v>807</v>
      </c>
      <c r="B569" t="s">
        <v>450</v>
      </c>
      <c r="C569" t="s">
        <v>36</v>
      </c>
      <c r="D569" t="s">
        <v>29</v>
      </c>
      <c r="E569">
        <v>1999</v>
      </c>
      <c r="F569">
        <v>3</v>
      </c>
      <c r="G569">
        <v>5997</v>
      </c>
      <c r="H569" t="s">
        <v>15</v>
      </c>
      <c r="I569" t="s">
        <v>82</v>
      </c>
      <c r="J569" t="s">
        <v>17</v>
      </c>
      <c r="K569" t="s">
        <v>18</v>
      </c>
    </row>
    <row r="570" spans="1:11">
      <c r="A570" t="s">
        <v>808</v>
      </c>
      <c r="B570" t="s">
        <v>361</v>
      </c>
      <c r="C570" t="s">
        <v>135</v>
      </c>
      <c r="D570" t="s">
        <v>29</v>
      </c>
      <c r="E570">
        <v>3999</v>
      </c>
      <c r="F570">
        <v>3</v>
      </c>
      <c r="G570">
        <v>11997</v>
      </c>
      <c r="H570" t="s">
        <v>186</v>
      </c>
      <c r="I570" t="s">
        <v>31</v>
      </c>
      <c r="J570" t="s">
        <v>90</v>
      </c>
      <c r="K570" t="s">
        <v>18</v>
      </c>
    </row>
    <row r="571" spans="1:11">
      <c r="A571" t="s">
        <v>809</v>
      </c>
      <c r="B571" t="s">
        <v>598</v>
      </c>
      <c r="C571" t="s">
        <v>13</v>
      </c>
      <c r="D571" t="s">
        <v>14</v>
      </c>
      <c r="E571">
        <v>2499</v>
      </c>
      <c r="F571">
        <v>5</v>
      </c>
      <c r="G571">
        <v>12495</v>
      </c>
      <c r="H571" t="s">
        <v>95</v>
      </c>
      <c r="I571" t="s">
        <v>31</v>
      </c>
      <c r="J571" t="s">
        <v>17</v>
      </c>
      <c r="K571" t="s">
        <v>33</v>
      </c>
    </row>
    <row r="572" spans="1:11">
      <c r="A572" t="s">
        <v>810</v>
      </c>
      <c r="B572" t="s">
        <v>40</v>
      </c>
      <c r="C572" t="s">
        <v>13</v>
      </c>
      <c r="D572" t="s">
        <v>14</v>
      </c>
      <c r="E572">
        <v>2499</v>
      </c>
      <c r="F572">
        <v>5</v>
      </c>
      <c r="G572">
        <v>12495</v>
      </c>
      <c r="H572" t="s">
        <v>157</v>
      </c>
      <c r="I572" t="s">
        <v>77</v>
      </c>
      <c r="J572" t="s">
        <v>90</v>
      </c>
      <c r="K572" t="s">
        <v>33</v>
      </c>
    </row>
    <row r="573" spans="1:11">
      <c r="A573" t="s">
        <v>811</v>
      </c>
      <c r="B573" t="s">
        <v>340</v>
      </c>
      <c r="C573" t="s">
        <v>162</v>
      </c>
      <c r="D573" t="s">
        <v>29</v>
      </c>
      <c r="E573">
        <v>1799</v>
      </c>
      <c r="F573">
        <v>2</v>
      </c>
      <c r="G573">
        <v>3598</v>
      </c>
      <c r="H573" t="s">
        <v>95</v>
      </c>
      <c r="I573" t="s">
        <v>77</v>
      </c>
      <c r="J573" t="s">
        <v>17</v>
      </c>
      <c r="K573" t="s">
        <v>18</v>
      </c>
    </row>
    <row r="574" spans="1:11">
      <c r="A574" t="s">
        <v>812</v>
      </c>
      <c r="B574" t="s">
        <v>40</v>
      </c>
      <c r="C574" t="s">
        <v>101</v>
      </c>
      <c r="D574" t="s">
        <v>81</v>
      </c>
      <c r="E574">
        <v>499</v>
      </c>
      <c r="F574">
        <v>5</v>
      </c>
      <c r="G574">
        <v>2495</v>
      </c>
      <c r="H574" t="s">
        <v>186</v>
      </c>
      <c r="I574" t="s">
        <v>98</v>
      </c>
      <c r="J574" t="s">
        <v>17</v>
      </c>
      <c r="K574" t="s">
        <v>18</v>
      </c>
    </row>
    <row r="575" spans="1:11">
      <c r="A575" t="s">
        <v>813</v>
      </c>
      <c r="B575" t="s">
        <v>255</v>
      </c>
      <c r="C575" t="s">
        <v>48</v>
      </c>
      <c r="D575" t="s">
        <v>49</v>
      </c>
      <c r="E575">
        <v>699</v>
      </c>
      <c r="F575">
        <v>4</v>
      </c>
      <c r="G575">
        <v>2796</v>
      </c>
      <c r="H575" t="s">
        <v>15</v>
      </c>
      <c r="I575" t="s">
        <v>57</v>
      </c>
      <c r="J575" t="s">
        <v>17</v>
      </c>
      <c r="K575" t="s">
        <v>18</v>
      </c>
    </row>
    <row r="576" spans="1:11">
      <c r="A576" t="s">
        <v>814</v>
      </c>
      <c r="B576" t="s">
        <v>73</v>
      </c>
      <c r="C576" t="s">
        <v>70</v>
      </c>
      <c r="D576" t="s">
        <v>29</v>
      </c>
      <c r="E576">
        <v>799</v>
      </c>
      <c r="F576">
        <v>2</v>
      </c>
      <c r="G576">
        <v>1598</v>
      </c>
      <c r="H576" t="s">
        <v>119</v>
      </c>
      <c r="I576" t="s">
        <v>82</v>
      </c>
      <c r="J576" t="s">
        <v>90</v>
      </c>
      <c r="K576" t="s">
        <v>18</v>
      </c>
    </row>
    <row r="577" spans="1:11">
      <c r="A577" t="s">
        <v>815</v>
      </c>
      <c r="B577" t="s">
        <v>447</v>
      </c>
      <c r="C577" t="s">
        <v>101</v>
      </c>
      <c r="D577" t="s">
        <v>81</v>
      </c>
      <c r="E577">
        <v>499</v>
      </c>
      <c r="F577">
        <v>5</v>
      </c>
      <c r="G577">
        <v>2495</v>
      </c>
      <c r="H577" t="s">
        <v>157</v>
      </c>
      <c r="I577" t="s">
        <v>67</v>
      </c>
      <c r="J577" t="s">
        <v>90</v>
      </c>
      <c r="K577" t="s">
        <v>45</v>
      </c>
    </row>
    <row r="578" spans="1:11">
      <c r="A578" t="s">
        <v>816</v>
      </c>
      <c r="B578" t="s">
        <v>633</v>
      </c>
      <c r="C578" t="s">
        <v>48</v>
      </c>
      <c r="D578" t="s">
        <v>49</v>
      </c>
      <c r="E578">
        <v>699</v>
      </c>
      <c r="F578">
        <v>4</v>
      </c>
      <c r="G578">
        <v>2796</v>
      </c>
      <c r="H578" t="s">
        <v>89</v>
      </c>
      <c r="I578" t="s">
        <v>125</v>
      </c>
      <c r="J578" t="s">
        <v>38</v>
      </c>
      <c r="K578" t="s">
        <v>18</v>
      </c>
    </row>
    <row r="579" spans="1:11">
      <c r="A579" t="s">
        <v>817</v>
      </c>
      <c r="B579" t="s">
        <v>682</v>
      </c>
      <c r="C579" t="s">
        <v>80</v>
      </c>
      <c r="D579" t="s">
        <v>81</v>
      </c>
      <c r="E579">
        <v>299</v>
      </c>
      <c r="F579">
        <v>2</v>
      </c>
      <c r="G579">
        <v>598</v>
      </c>
      <c r="H579" t="s">
        <v>23</v>
      </c>
      <c r="I579" t="s">
        <v>63</v>
      </c>
      <c r="J579" t="s">
        <v>90</v>
      </c>
      <c r="K579" t="s">
        <v>18</v>
      </c>
    </row>
    <row r="580" spans="1:11">
      <c r="A580" t="s">
        <v>818</v>
      </c>
      <c r="B580" t="s">
        <v>745</v>
      </c>
      <c r="C580" t="s">
        <v>52</v>
      </c>
      <c r="D580" t="s">
        <v>53</v>
      </c>
      <c r="E580">
        <v>199</v>
      </c>
      <c r="F580">
        <v>1</v>
      </c>
      <c r="G580">
        <v>199</v>
      </c>
      <c r="H580" t="s">
        <v>102</v>
      </c>
      <c r="I580" t="s">
        <v>67</v>
      </c>
      <c r="J580" t="s">
        <v>38</v>
      </c>
      <c r="K580" t="s">
        <v>45</v>
      </c>
    </row>
    <row r="581" spans="1:11">
      <c r="A581" t="s">
        <v>819</v>
      </c>
      <c r="B581" t="s">
        <v>196</v>
      </c>
      <c r="C581" t="s">
        <v>162</v>
      </c>
      <c r="D581" t="s">
        <v>29</v>
      </c>
      <c r="E581">
        <v>1799</v>
      </c>
      <c r="F581">
        <v>4</v>
      </c>
      <c r="G581">
        <v>7196</v>
      </c>
      <c r="H581" t="s">
        <v>56</v>
      </c>
      <c r="I581" t="s">
        <v>57</v>
      </c>
      <c r="J581" t="s">
        <v>32</v>
      </c>
      <c r="K581" t="s">
        <v>18</v>
      </c>
    </row>
    <row r="582" spans="1:11">
      <c r="A582" t="s">
        <v>820</v>
      </c>
      <c r="B582" t="s">
        <v>347</v>
      </c>
      <c r="C582" t="s">
        <v>36</v>
      </c>
      <c r="D582" t="s">
        <v>29</v>
      </c>
      <c r="E582">
        <v>1999</v>
      </c>
      <c r="F582">
        <v>2</v>
      </c>
      <c r="G582">
        <v>3998</v>
      </c>
      <c r="H582" t="s">
        <v>15</v>
      </c>
      <c r="I582" t="s">
        <v>67</v>
      </c>
      <c r="J582" t="s">
        <v>32</v>
      </c>
      <c r="K582" t="s">
        <v>18</v>
      </c>
    </row>
    <row r="583" spans="1:11">
      <c r="A583" t="s">
        <v>821</v>
      </c>
      <c r="B583" t="s">
        <v>568</v>
      </c>
      <c r="C583" t="s">
        <v>60</v>
      </c>
      <c r="D583" t="s">
        <v>61</v>
      </c>
      <c r="E583">
        <v>899</v>
      </c>
      <c r="F583">
        <v>1</v>
      </c>
      <c r="G583">
        <v>899</v>
      </c>
      <c r="H583" t="s">
        <v>30</v>
      </c>
      <c r="I583" t="s">
        <v>77</v>
      </c>
      <c r="J583" t="s">
        <v>38</v>
      </c>
      <c r="K583" t="s">
        <v>18</v>
      </c>
    </row>
    <row r="584" spans="1:11">
      <c r="A584" t="s">
        <v>822</v>
      </c>
      <c r="B584" t="s">
        <v>613</v>
      </c>
      <c r="C584" t="s">
        <v>76</v>
      </c>
      <c r="D584" t="s">
        <v>49</v>
      </c>
      <c r="E584">
        <v>1599</v>
      </c>
      <c r="F584">
        <v>1</v>
      </c>
      <c r="G584">
        <v>1599</v>
      </c>
      <c r="H584" t="s">
        <v>62</v>
      </c>
      <c r="I584" t="s">
        <v>24</v>
      </c>
      <c r="J584" t="s">
        <v>38</v>
      </c>
      <c r="K584" t="s">
        <v>18</v>
      </c>
    </row>
    <row r="585" spans="1:11">
      <c r="A585" t="s">
        <v>823</v>
      </c>
      <c r="B585" t="s">
        <v>335</v>
      </c>
      <c r="C585" t="s">
        <v>13</v>
      </c>
      <c r="D585" t="s">
        <v>14</v>
      </c>
      <c r="E585">
        <v>2499</v>
      </c>
      <c r="F585">
        <v>3</v>
      </c>
      <c r="G585">
        <v>7497</v>
      </c>
      <c r="H585" t="s">
        <v>62</v>
      </c>
      <c r="I585" t="s">
        <v>44</v>
      </c>
      <c r="J585" t="s">
        <v>25</v>
      </c>
      <c r="K585" t="s">
        <v>18</v>
      </c>
    </row>
    <row r="586" spans="1:11">
      <c r="A586" t="s">
        <v>824</v>
      </c>
      <c r="B586" t="s">
        <v>260</v>
      </c>
      <c r="C586" t="s">
        <v>76</v>
      </c>
      <c r="D586" t="s">
        <v>49</v>
      </c>
      <c r="E586">
        <v>1599</v>
      </c>
      <c r="F586">
        <v>4</v>
      </c>
      <c r="G586">
        <v>6396</v>
      </c>
      <c r="H586" t="s">
        <v>62</v>
      </c>
      <c r="I586" t="s">
        <v>105</v>
      </c>
      <c r="J586" t="s">
        <v>90</v>
      </c>
      <c r="K586" t="s">
        <v>18</v>
      </c>
    </row>
    <row r="587" spans="1:11">
      <c r="A587" t="s">
        <v>825</v>
      </c>
      <c r="B587" t="s">
        <v>321</v>
      </c>
      <c r="C587" t="s">
        <v>76</v>
      </c>
      <c r="D587" t="s">
        <v>49</v>
      </c>
      <c r="E587">
        <v>1599</v>
      </c>
      <c r="F587">
        <v>2</v>
      </c>
      <c r="G587">
        <v>3198</v>
      </c>
      <c r="H587" t="s">
        <v>15</v>
      </c>
      <c r="I587" t="s">
        <v>105</v>
      </c>
      <c r="J587" t="s">
        <v>90</v>
      </c>
      <c r="K587" t="s">
        <v>18</v>
      </c>
    </row>
    <row r="588" spans="1:11">
      <c r="A588" t="s">
        <v>826</v>
      </c>
      <c r="B588" t="s">
        <v>381</v>
      </c>
      <c r="C588" t="s">
        <v>13</v>
      </c>
      <c r="D588" t="s">
        <v>14</v>
      </c>
      <c r="E588">
        <v>2499</v>
      </c>
      <c r="F588">
        <v>2</v>
      </c>
      <c r="G588">
        <v>4998</v>
      </c>
      <c r="H588" t="s">
        <v>119</v>
      </c>
      <c r="I588" t="s">
        <v>24</v>
      </c>
      <c r="J588" t="s">
        <v>25</v>
      </c>
      <c r="K588" t="s">
        <v>18</v>
      </c>
    </row>
    <row r="589" spans="1:11">
      <c r="A589" t="s">
        <v>827</v>
      </c>
      <c r="B589" t="s">
        <v>27</v>
      </c>
      <c r="C589" t="s">
        <v>80</v>
      </c>
      <c r="D589" t="s">
        <v>81</v>
      </c>
      <c r="E589">
        <v>299</v>
      </c>
      <c r="F589">
        <v>3</v>
      </c>
      <c r="G589">
        <v>897</v>
      </c>
      <c r="H589" t="s">
        <v>23</v>
      </c>
      <c r="I589" t="s">
        <v>105</v>
      </c>
      <c r="J589" t="s">
        <v>38</v>
      </c>
      <c r="K589" t="s">
        <v>18</v>
      </c>
    </row>
    <row r="590" spans="1:11">
      <c r="A590" t="s">
        <v>828</v>
      </c>
      <c r="B590" t="s">
        <v>84</v>
      </c>
      <c r="C590" t="s">
        <v>122</v>
      </c>
      <c r="D590" t="s">
        <v>29</v>
      </c>
      <c r="E590">
        <v>1299</v>
      </c>
      <c r="F590">
        <v>1</v>
      </c>
      <c r="G590">
        <v>1299</v>
      </c>
      <c r="H590" t="s">
        <v>186</v>
      </c>
      <c r="I590" t="s">
        <v>31</v>
      </c>
      <c r="J590" t="s">
        <v>32</v>
      </c>
      <c r="K590" t="s">
        <v>18</v>
      </c>
    </row>
    <row r="591" spans="1:11">
      <c r="A591" t="s">
        <v>829</v>
      </c>
      <c r="B591" t="s">
        <v>347</v>
      </c>
      <c r="C591" t="s">
        <v>162</v>
      </c>
      <c r="D591" t="s">
        <v>29</v>
      </c>
      <c r="E591">
        <v>1799</v>
      </c>
      <c r="F591">
        <v>3</v>
      </c>
      <c r="G591">
        <v>5397</v>
      </c>
      <c r="H591" t="s">
        <v>23</v>
      </c>
      <c r="I591" t="s">
        <v>105</v>
      </c>
      <c r="J591" t="s">
        <v>17</v>
      </c>
      <c r="K591" t="s">
        <v>18</v>
      </c>
    </row>
    <row r="592" spans="1:11">
      <c r="A592" t="s">
        <v>830</v>
      </c>
      <c r="B592" t="s">
        <v>250</v>
      </c>
      <c r="C592" t="s">
        <v>60</v>
      </c>
      <c r="D592" t="s">
        <v>61</v>
      </c>
      <c r="E592">
        <v>899</v>
      </c>
      <c r="F592">
        <v>3</v>
      </c>
      <c r="G592">
        <v>2697</v>
      </c>
      <c r="H592" t="s">
        <v>62</v>
      </c>
      <c r="I592" t="s">
        <v>98</v>
      </c>
      <c r="J592" t="s">
        <v>32</v>
      </c>
      <c r="K592" t="s">
        <v>18</v>
      </c>
    </row>
    <row r="593" spans="1:11">
      <c r="A593" t="s">
        <v>831</v>
      </c>
      <c r="B593" t="s">
        <v>395</v>
      </c>
      <c r="C593" t="s">
        <v>36</v>
      </c>
      <c r="D593" t="s">
        <v>29</v>
      </c>
      <c r="E593">
        <v>1999</v>
      </c>
      <c r="F593">
        <v>2</v>
      </c>
      <c r="G593">
        <v>3998</v>
      </c>
      <c r="H593" t="s">
        <v>119</v>
      </c>
      <c r="I593" t="s">
        <v>24</v>
      </c>
      <c r="J593" t="s">
        <v>25</v>
      </c>
      <c r="K593" t="s">
        <v>18</v>
      </c>
    </row>
    <row r="594" spans="1:11">
      <c r="A594" t="s">
        <v>832</v>
      </c>
      <c r="B594" t="s">
        <v>55</v>
      </c>
      <c r="C594" t="s">
        <v>162</v>
      </c>
      <c r="D594" t="s">
        <v>29</v>
      </c>
      <c r="E594">
        <v>1799</v>
      </c>
      <c r="F594">
        <v>5</v>
      </c>
      <c r="G594">
        <v>8995</v>
      </c>
      <c r="H594" t="s">
        <v>30</v>
      </c>
      <c r="I594" t="s">
        <v>16</v>
      </c>
      <c r="J594" t="s">
        <v>25</v>
      </c>
      <c r="K594" t="s">
        <v>18</v>
      </c>
    </row>
    <row r="595" spans="1:11">
      <c r="A595" t="s">
        <v>833</v>
      </c>
      <c r="B595" t="s">
        <v>227</v>
      </c>
      <c r="C595" t="s">
        <v>162</v>
      </c>
      <c r="D595" t="s">
        <v>29</v>
      </c>
      <c r="E595">
        <v>1799</v>
      </c>
      <c r="F595">
        <v>4</v>
      </c>
      <c r="G595">
        <v>7196</v>
      </c>
      <c r="H595" t="s">
        <v>56</v>
      </c>
      <c r="I595" t="s">
        <v>77</v>
      </c>
      <c r="J595" t="s">
        <v>25</v>
      </c>
      <c r="K595" t="s">
        <v>45</v>
      </c>
    </row>
    <row r="596" spans="1:11">
      <c r="A596" t="s">
        <v>834</v>
      </c>
      <c r="B596" t="s">
        <v>402</v>
      </c>
      <c r="C596" t="s">
        <v>13</v>
      </c>
      <c r="D596" t="s">
        <v>14</v>
      </c>
      <c r="E596">
        <v>2499</v>
      </c>
      <c r="F596">
        <v>3</v>
      </c>
      <c r="G596">
        <v>7497</v>
      </c>
      <c r="H596" t="s">
        <v>95</v>
      </c>
      <c r="I596" t="s">
        <v>31</v>
      </c>
      <c r="J596" t="s">
        <v>38</v>
      </c>
      <c r="K596" t="s">
        <v>18</v>
      </c>
    </row>
    <row r="597" spans="1:11">
      <c r="A597" t="s">
        <v>835</v>
      </c>
      <c r="B597" t="s">
        <v>343</v>
      </c>
      <c r="C597" t="s">
        <v>70</v>
      </c>
      <c r="D597" t="s">
        <v>29</v>
      </c>
      <c r="E597">
        <v>799</v>
      </c>
      <c r="F597">
        <v>5</v>
      </c>
      <c r="G597">
        <v>3995</v>
      </c>
      <c r="H597" t="s">
        <v>95</v>
      </c>
      <c r="I597" t="s">
        <v>16</v>
      </c>
      <c r="J597" t="s">
        <v>90</v>
      </c>
      <c r="K597" t="s">
        <v>18</v>
      </c>
    </row>
    <row r="598" spans="1:11">
      <c r="A598" t="s">
        <v>836</v>
      </c>
      <c r="B598" t="s">
        <v>177</v>
      </c>
      <c r="C598" t="s">
        <v>135</v>
      </c>
      <c r="D598" t="s">
        <v>29</v>
      </c>
      <c r="E598">
        <v>3999</v>
      </c>
      <c r="F598">
        <v>1</v>
      </c>
      <c r="G598">
        <v>3999</v>
      </c>
      <c r="H598" t="s">
        <v>23</v>
      </c>
      <c r="I598" t="s">
        <v>31</v>
      </c>
      <c r="J598" t="s">
        <v>90</v>
      </c>
      <c r="K598" t="s">
        <v>18</v>
      </c>
    </row>
    <row r="599" spans="1:11">
      <c r="A599" t="s">
        <v>837</v>
      </c>
      <c r="B599" t="s">
        <v>27</v>
      </c>
      <c r="C599" t="s">
        <v>52</v>
      </c>
      <c r="D599" t="s">
        <v>53</v>
      </c>
      <c r="E599">
        <v>199</v>
      </c>
      <c r="F599">
        <v>4</v>
      </c>
      <c r="G599">
        <v>796</v>
      </c>
      <c r="H599" t="s">
        <v>37</v>
      </c>
      <c r="I599" t="s">
        <v>57</v>
      </c>
      <c r="J599" t="s">
        <v>38</v>
      </c>
      <c r="K599" t="s">
        <v>45</v>
      </c>
    </row>
    <row r="600" spans="1:11">
      <c r="A600" t="s">
        <v>838</v>
      </c>
      <c r="B600" t="s">
        <v>86</v>
      </c>
      <c r="C600" t="s">
        <v>13</v>
      </c>
      <c r="D600" t="s">
        <v>14</v>
      </c>
      <c r="E600">
        <v>2499</v>
      </c>
      <c r="F600">
        <v>5</v>
      </c>
      <c r="G600">
        <v>12495</v>
      </c>
      <c r="H600" t="s">
        <v>89</v>
      </c>
      <c r="I600" t="s">
        <v>57</v>
      </c>
      <c r="J600" t="s">
        <v>17</v>
      </c>
      <c r="K600" t="s">
        <v>18</v>
      </c>
    </row>
    <row r="601" spans="1:11">
      <c r="A601" t="s">
        <v>839</v>
      </c>
      <c r="B601" t="s">
        <v>377</v>
      </c>
      <c r="C601" t="s">
        <v>122</v>
      </c>
      <c r="D601" t="s">
        <v>29</v>
      </c>
      <c r="E601">
        <v>1299</v>
      </c>
      <c r="F601">
        <v>4</v>
      </c>
      <c r="G601">
        <v>5196</v>
      </c>
      <c r="H601" t="s">
        <v>71</v>
      </c>
      <c r="I601" t="s">
        <v>16</v>
      </c>
      <c r="J601" t="s">
        <v>25</v>
      </c>
      <c r="K601" t="s">
        <v>18</v>
      </c>
    </row>
    <row r="602" spans="1:11">
      <c r="A602" t="s">
        <v>840</v>
      </c>
      <c r="B602" t="s">
        <v>189</v>
      </c>
      <c r="C602" t="s">
        <v>60</v>
      </c>
      <c r="D602" t="s">
        <v>61</v>
      </c>
      <c r="E602">
        <v>899</v>
      </c>
      <c r="F602">
        <v>1</v>
      </c>
      <c r="G602">
        <v>899</v>
      </c>
      <c r="H602" t="s">
        <v>23</v>
      </c>
      <c r="I602" t="s">
        <v>67</v>
      </c>
      <c r="J602" t="s">
        <v>32</v>
      </c>
      <c r="K602" t="s">
        <v>18</v>
      </c>
    </row>
    <row r="603" spans="1:11">
      <c r="A603" t="s">
        <v>841</v>
      </c>
      <c r="B603" t="s">
        <v>121</v>
      </c>
      <c r="C603" t="s">
        <v>135</v>
      </c>
      <c r="D603" t="s">
        <v>29</v>
      </c>
      <c r="E603">
        <v>3999</v>
      </c>
      <c r="F603">
        <v>1</v>
      </c>
      <c r="G603">
        <v>3999</v>
      </c>
      <c r="H603" t="s">
        <v>89</v>
      </c>
      <c r="I603" t="s">
        <v>63</v>
      </c>
      <c r="J603" t="s">
        <v>25</v>
      </c>
      <c r="K603" t="s">
        <v>18</v>
      </c>
    </row>
    <row r="604" spans="1:11">
      <c r="A604" t="s">
        <v>842</v>
      </c>
      <c r="B604" t="s">
        <v>205</v>
      </c>
      <c r="C604" t="s">
        <v>80</v>
      </c>
      <c r="D604" t="s">
        <v>81</v>
      </c>
      <c r="E604">
        <v>299</v>
      </c>
      <c r="F604">
        <v>2</v>
      </c>
      <c r="G604">
        <v>598</v>
      </c>
      <c r="H604" t="s">
        <v>66</v>
      </c>
      <c r="I604" t="s">
        <v>125</v>
      </c>
      <c r="J604" t="s">
        <v>17</v>
      </c>
      <c r="K604" t="s">
        <v>33</v>
      </c>
    </row>
    <row r="605" spans="1:11">
      <c r="A605" t="s">
        <v>843</v>
      </c>
      <c r="B605" t="s">
        <v>200</v>
      </c>
      <c r="C605" t="s">
        <v>52</v>
      </c>
      <c r="D605" t="s">
        <v>53</v>
      </c>
      <c r="E605">
        <v>199</v>
      </c>
      <c r="F605">
        <v>4</v>
      </c>
      <c r="G605">
        <v>796</v>
      </c>
      <c r="H605" t="s">
        <v>71</v>
      </c>
      <c r="I605" t="s">
        <v>24</v>
      </c>
      <c r="J605" t="s">
        <v>90</v>
      </c>
      <c r="K605" t="s">
        <v>45</v>
      </c>
    </row>
    <row r="606" spans="1:11">
      <c r="A606" t="s">
        <v>844</v>
      </c>
      <c r="B606" t="s">
        <v>373</v>
      </c>
      <c r="C606" t="s">
        <v>52</v>
      </c>
      <c r="D606" t="s">
        <v>53</v>
      </c>
      <c r="E606">
        <v>199</v>
      </c>
      <c r="F606">
        <v>2</v>
      </c>
      <c r="G606">
        <v>398</v>
      </c>
      <c r="H606" t="s">
        <v>23</v>
      </c>
      <c r="I606" t="s">
        <v>57</v>
      </c>
      <c r="J606" t="s">
        <v>38</v>
      </c>
      <c r="K606" t="s">
        <v>18</v>
      </c>
    </row>
    <row r="607" spans="1:11">
      <c r="A607" t="s">
        <v>845</v>
      </c>
      <c r="B607" t="s">
        <v>331</v>
      </c>
      <c r="C607" t="s">
        <v>101</v>
      </c>
      <c r="D607" t="s">
        <v>81</v>
      </c>
      <c r="E607">
        <v>499</v>
      </c>
      <c r="F607">
        <v>5</v>
      </c>
      <c r="G607">
        <v>2495</v>
      </c>
      <c r="H607" t="s">
        <v>56</v>
      </c>
      <c r="I607" t="s">
        <v>67</v>
      </c>
      <c r="J607" t="s">
        <v>38</v>
      </c>
      <c r="K607" t="s">
        <v>18</v>
      </c>
    </row>
    <row r="608" spans="1:11">
      <c r="A608" t="s">
        <v>846</v>
      </c>
      <c r="B608" t="s">
        <v>406</v>
      </c>
      <c r="C608" t="s">
        <v>28</v>
      </c>
      <c r="D608" t="s">
        <v>29</v>
      </c>
      <c r="E608">
        <v>1299</v>
      </c>
      <c r="F608">
        <v>5</v>
      </c>
      <c r="G608">
        <v>6495</v>
      </c>
      <c r="H608" t="s">
        <v>186</v>
      </c>
      <c r="I608" t="s">
        <v>63</v>
      </c>
      <c r="J608" t="s">
        <v>25</v>
      </c>
      <c r="K608" t="s">
        <v>18</v>
      </c>
    </row>
    <row r="609" spans="1:11">
      <c r="A609" t="s">
        <v>847</v>
      </c>
      <c r="B609" t="s">
        <v>84</v>
      </c>
      <c r="C609" t="s">
        <v>80</v>
      </c>
      <c r="D609" t="s">
        <v>81</v>
      </c>
      <c r="E609">
        <v>299</v>
      </c>
      <c r="F609">
        <v>5</v>
      </c>
      <c r="G609">
        <v>1495</v>
      </c>
      <c r="H609" t="s">
        <v>71</v>
      </c>
      <c r="I609" t="s">
        <v>16</v>
      </c>
      <c r="J609" t="s">
        <v>32</v>
      </c>
      <c r="K609" t="s">
        <v>18</v>
      </c>
    </row>
    <row r="610" spans="1:11">
      <c r="A610" t="s">
        <v>848</v>
      </c>
      <c r="B610" t="s">
        <v>365</v>
      </c>
      <c r="C610" t="s">
        <v>28</v>
      </c>
      <c r="D610" t="s">
        <v>29</v>
      </c>
      <c r="E610">
        <v>1299</v>
      </c>
      <c r="F610">
        <v>2</v>
      </c>
      <c r="G610">
        <v>2598</v>
      </c>
      <c r="H610" t="s">
        <v>71</v>
      </c>
      <c r="I610" t="s">
        <v>57</v>
      </c>
      <c r="J610" t="s">
        <v>90</v>
      </c>
      <c r="K610" t="s">
        <v>45</v>
      </c>
    </row>
    <row r="611" spans="1:11">
      <c r="A611" t="s">
        <v>849</v>
      </c>
      <c r="B611" t="s">
        <v>329</v>
      </c>
      <c r="C611" t="s">
        <v>122</v>
      </c>
      <c r="D611" t="s">
        <v>29</v>
      </c>
      <c r="E611">
        <v>1299</v>
      </c>
      <c r="F611">
        <v>2</v>
      </c>
      <c r="G611">
        <v>2598</v>
      </c>
      <c r="H611" t="s">
        <v>23</v>
      </c>
      <c r="I611" t="s">
        <v>31</v>
      </c>
      <c r="J611" t="s">
        <v>90</v>
      </c>
      <c r="K611" t="s">
        <v>18</v>
      </c>
    </row>
    <row r="612" spans="1:11">
      <c r="A612" t="s">
        <v>850</v>
      </c>
      <c r="B612" t="s">
        <v>553</v>
      </c>
      <c r="C612" t="s">
        <v>135</v>
      </c>
      <c r="D612" t="s">
        <v>29</v>
      </c>
      <c r="E612">
        <v>3999</v>
      </c>
      <c r="F612">
        <v>5</v>
      </c>
      <c r="G612">
        <v>19995</v>
      </c>
      <c r="H612" t="s">
        <v>37</v>
      </c>
      <c r="I612" t="s">
        <v>67</v>
      </c>
      <c r="J612" t="s">
        <v>38</v>
      </c>
      <c r="K612" t="s">
        <v>33</v>
      </c>
    </row>
    <row r="613" spans="1:11">
      <c r="A613" t="s">
        <v>851</v>
      </c>
      <c r="B613" t="s">
        <v>682</v>
      </c>
      <c r="C613" t="s">
        <v>28</v>
      </c>
      <c r="D613" t="s">
        <v>29</v>
      </c>
      <c r="E613">
        <v>1299</v>
      </c>
      <c r="F613">
        <v>4</v>
      </c>
      <c r="G613">
        <v>5196</v>
      </c>
      <c r="H613" t="s">
        <v>71</v>
      </c>
      <c r="I613" t="s">
        <v>98</v>
      </c>
      <c r="J613" t="s">
        <v>17</v>
      </c>
      <c r="K613" t="s">
        <v>45</v>
      </c>
    </row>
    <row r="614" spans="1:11">
      <c r="A614" t="s">
        <v>852</v>
      </c>
      <c r="B614" t="s">
        <v>450</v>
      </c>
      <c r="C614" t="s">
        <v>101</v>
      </c>
      <c r="D614" t="s">
        <v>81</v>
      </c>
      <c r="E614">
        <v>499</v>
      </c>
      <c r="F614">
        <v>5</v>
      </c>
      <c r="G614">
        <v>2495</v>
      </c>
      <c r="H614" t="s">
        <v>62</v>
      </c>
      <c r="I614" t="s">
        <v>77</v>
      </c>
      <c r="J614" t="s">
        <v>90</v>
      </c>
      <c r="K614" t="s">
        <v>18</v>
      </c>
    </row>
    <row r="615" spans="1:11">
      <c r="A615" t="s">
        <v>853</v>
      </c>
      <c r="B615" t="s">
        <v>415</v>
      </c>
      <c r="C615" t="s">
        <v>28</v>
      </c>
      <c r="D615" t="s">
        <v>29</v>
      </c>
      <c r="E615">
        <v>1299</v>
      </c>
      <c r="F615">
        <v>4</v>
      </c>
      <c r="G615">
        <v>5196</v>
      </c>
      <c r="H615" t="s">
        <v>119</v>
      </c>
      <c r="I615" t="s">
        <v>44</v>
      </c>
      <c r="J615" t="s">
        <v>32</v>
      </c>
      <c r="K615" t="s">
        <v>18</v>
      </c>
    </row>
    <row r="616" spans="1:11">
      <c r="A616" t="s">
        <v>854</v>
      </c>
      <c r="B616" t="s">
        <v>51</v>
      </c>
      <c r="C616" t="s">
        <v>87</v>
      </c>
      <c r="D616" t="s">
        <v>88</v>
      </c>
      <c r="E616">
        <v>5499</v>
      </c>
      <c r="F616">
        <v>1</v>
      </c>
      <c r="G616">
        <v>5499</v>
      </c>
      <c r="H616" t="s">
        <v>186</v>
      </c>
      <c r="I616" t="s">
        <v>44</v>
      </c>
      <c r="J616" t="s">
        <v>90</v>
      </c>
      <c r="K616" t="s">
        <v>45</v>
      </c>
    </row>
    <row r="617" spans="1:11">
      <c r="A617" t="s">
        <v>855</v>
      </c>
      <c r="B617" t="s">
        <v>154</v>
      </c>
      <c r="C617" t="s">
        <v>76</v>
      </c>
      <c r="D617" t="s">
        <v>49</v>
      </c>
      <c r="E617">
        <v>1599</v>
      </c>
      <c r="F617">
        <v>2</v>
      </c>
      <c r="G617">
        <v>3198</v>
      </c>
      <c r="H617" t="s">
        <v>23</v>
      </c>
      <c r="I617" t="s">
        <v>31</v>
      </c>
      <c r="J617" t="s">
        <v>25</v>
      </c>
      <c r="K617" t="s">
        <v>33</v>
      </c>
    </row>
    <row r="618" spans="1:11">
      <c r="A618" t="s">
        <v>856</v>
      </c>
      <c r="B618" t="s">
        <v>183</v>
      </c>
      <c r="C618" t="s">
        <v>60</v>
      </c>
      <c r="D618" t="s">
        <v>61</v>
      </c>
      <c r="E618">
        <v>899</v>
      </c>
      <c r="F618">
        <v>2</v>
      </c>
      <c r="G618">
        <v>1798</v>
      </c>
      <c r="H618" t="s">
        <v>89</v>
      </c>
      <c r="I618" t="s">
        <v>57</v>
      </c>
      <c r="J618" t="s">
        <v>38</v>
      </c>
      <c r="K618" t="s">
        <v>45</v>
      </c>
    </row>
    <row r="619" spans="1:11">
      <c r="A619" t="s">
        <v>857</v>
      </c>
      <c r="B619" t="s">
        <v>73</v>
      </c>
      <c r="C619" t="s">
        <v>76</v>
      </c>
      <c r="D619" t="s">
        <v>49</v>
      </c>
      <c r="E619">
        <v>1599</v>
      </c>
      <c r="F619">
        <v>4</v>
      </c>
      <c r="G619">
        <v>6396</v>
      </c>
      <c r="H619" t="s">
        <v>23</v>
      </c>
      <c r="I619" t="s">
        <v>16</v>
      </c>
      <c r="J619" t="s">
        <v>32</v>
      </c>
      <c r="K619" t="s">
        <v>45</v>
      </c>
    </row>
    <row r="620" spans="1:11">
      <c r="A620" t="s">
        <v>858</v>
      </c>
      <c r="B620" t="s">
        <v>97</v>
      </c>
      <c r="C620" t="s">
        <v>135</v>
      </c>
      <c r="D620" t="s">
        <v>29</v>
      </c>
      <c r="E620">
        <v>3999</v>
      </c>
      <c r="F620">
        <v>1</v>
      </c>
      <c r="G620">
        <v>3999</v>
      </c>
      <c r="H620" t="s">
        <v>157</v>
      </c>
      <c r="I620" t="s">
        <v>16</v>
      </c>
      <c r="J620" t="s">
        <v>25</v>
      </c>
      <c r="K620" t="s">
        <v>45</v>
      </c>
    </row>
    <row r="621" spans="1:11">
      <c r="A621" t="s">
        <v>859</v>
      </c>
      <c r="B621" t="s">
        <v>395</v>
      </c>
      <c r="C621" t="s">
        <v>87</v>
      </c>
      <c r="D621" t="s">
        <v>88</v>
      </c>
      <c r="E621">
        <v>5499</v>
      </c>
      <c r="F621">
        <v>3</v>
      </c>
      <c r="G621">
        <v>16497</v>
      </c>
      <c r="H621" t="s">
        <v>37</v>
      </c>
      <c r="I621" t="s">
        <v>44</v>
      </c>
      <c r="J621" t="s">
        <v>38</v>
      </c>
      <c r="K621" t="s">
        <v>18</v>
      </c>
    </row>
    <row r="622" spans="1:11">
      <c r="A622" t="s">
        <v>860</v>
      </c>
      <c r="B622" t="s">
        <v>546</v>
      </c>
      <c r="C622" t="s">
        <v>36</v>
      </c>
      <c r="D622" t="s">
        <v>29</v>
      </c>
      <c r="E622">
        <v>1999</v>
      </c>
      <c r="F622">
        <v>3</v>
      </c>
      <c r="G622">
        <v>5997</v>
      </c>
      <c r="H622" t="s">
        <v>37</v>
      </c>
      <c r="I622" t="s">
        <v>24</v>
      </c>
      <c r="J622" t="s">
        <v>25</v>
      </c>
      <c r="K622" t="s">
        <v>18</v>
      </c>
    </row>
    <row r="623" spans="1:11">
      <c r="A623" t="s">
        <v>861</v>
      </c>
      <c r="B623" t="s">
        <v>161</v>
      </c>
      <c r="C623" t="s">
        <v>162</v>
      </c>
      <c r="D623" t="s">
        <v>29</v>
      </c>
      <c r="E623">
        <v>1799</v>
      </c>
      <c r="F623">
        <v>1</v>
      </c>
      <c r="G623">
        <v>1799</v>
      </c>
      <c r="H623" t="s">
        <v>186</v>
      </c>
      <c r="I623" t="s">
        <v>125</v>
      </c>
      <c r="J623" t="s">
        <v>32</v>
      </c>
      <c r="K623" t="s">
        <v>18</v>
      </c>
    </row>
    <row r="624" spans="1:11">
      <c r="A624" t="s">
        <v>862</v>
      </c>
      <c r="B624" t="s">
        <v>561</v>
      </c>
      <c r="C624" t="s">
        <v>28</v>
      </c>
      <c r="D624" t="s">
        <v>29</v>
      </c>
      <c r="E624">
        <v>1299</v>
      </c>
      <c r="F624">
        <v>3</v>
      </c>
      <c r="G624">
        <v>3897</v>
      </c>
      <c r="H624" t="s">
        <v>186</v>
      </c>
      <c r="I624" t="s">
        <v>77</v>
      </c>
      <c r="J624" t="s">
        <v>90</v>
      </c>
      <c r="K624" t="s">
        <v>18</v>
      </c>
    </row>
    <row r="625" spans="1:11">
      <c r="A625" t="s">
        <v>863</v>
      </c>
      <c r="B625" t="s">
        <v>314</v>
      </c>
      <c r="C625" t="s">
        <v>87</v>
      </c>
      <c r="D625" t="s">
        <v>88</v>
      </c>
      <c r="E625">
        <v>5499</v>
      </c>
      <c r="F625">
        <v>5</v>
      </c>
      <c r="G625">
        <v>27495</v>
      </c>
      <c r="H625" t="s">
        <v>23</v>
      </c>
      <c r="I625" t="s">
        <v>44</v>
      </c>
      <c r="J625" t="s">
        <v>38</v>
      </c>
      <c r="K625" t="s">
        <v>33</v>
      </c>
    </row>
    <row r="626" spans="1:11">
      <c r="A626" t="s">
        <v>864</v>
      </c>
      <c r="B626" t="s">
        <v>161</v>
      </c>
      <c r="C626" t="s">
        <v>48</v>
      </c>
      <c r="D626" t="s">
        <v>49</v>
      </c>
      <c r="E626">
        <v>699</v>
      </c>
      <c r="F626">
        <v>1</v>
      </c>
      <c r="G626">
        <v>699</v>
      </c>
      <c r="H626" t="s">
        <v>157</v>
      </c>
      <c r="I626" t="s">
        <v>44</v>
      </c>
      <c r="J626" t="s">
        <v>32</v>
      </c>
      <c r="K626" t="s">
        <v>18</v>
      </c>
    </row>
    <row r="627" spans="1:11">
      <c r="A627" t="s">
        <v>865</v>
      </c>
      <c r="B627" t="s">
        <v>375</v>
      </c>
      <c r="C627" t="s">
        <v>76</v>
      </c>
      <c r="D627" t="s">
        <v>49</v>
      </c>
      <c r="E627">
        <v>1599</v>
      </c>
      <c r="F627">
        <v>4</v>
      </c>
      <c r="G627">
        <v>6396</v>
      </c>
      <c r="H627" t="s">
        <v>56</v>
      </c>
      <c r="I627" t="s">
        <v>98</v>
      </c>
      <c r="J627" t="s">
        <v>32</v>
      </c>
      <c r="K627" t="s">
        <v>18</v>
      </c>
    </row>
    <row r="628" spans="1:11">
      <c r="A628" t="s">
        <v>866</v>
      </c>
      <c r="B628" t="s">
        <v>300</v>
      </c>
      <c r="C628" t="s">
        <v>76</v>
      </c>
      <c r="D628" t="s">
        <v>49</v>
      </c>
      <c r="E628">
        <v>1599</v>
      </c>
      <c r="F628">
        <v>1</v>
      </c>
      <c r="G628">
        <v>1599</v>
      </c>
      <c r="H628" t="s">
        <v>37</v>
      </c>
      <c r="I628" t="s">
        <v>63</v>
      </c>
      <c r="J628" t="s">
        <v>25</v>
      </c>
      <c r="K628" t="s">
        <v>18</v>
      </c>
    </row>
    <row r="629" spans="1:11">
      <c r="A629" t="s">
        <v>867</v>
      </c>
      <c r="B629" t="s">
        <v>237</v>
      </c>
      <c r="C629" t="s">
        <v>52</v>
      </c>
      <c r="D629" t="s">
        <v>53</v>
      </c>
      <c r="E629">
        <v>199</v>
      </c>
      <c r="F629">
        <v>1</v>
      </c>
      <c r="G629">
        <v>199</v>
      </c>
      <c r="H629" t="s">
        <v>89</v>
      </c>
      <c r="I629" t="s">
        <v>105</v>
      </c>
      <c r="J629" t="s">
        <v>32</v>
      </c>
      <c r="K629" t="s">
        <v>45</v>
      </c>
    </row>
    <row r="630" spans="1:11">
      <c r="A630" t="s">
        <v>868</v>
      </c>
      <c r="B630" t="s">
        <v>167</v>
      </c>
      <c r="C630" t="s">
        <v>76</v>
      </c>
      <c r="D630" t="s">
        <v>49</v>
      </c>
      <c r="E630">
        <v>1599</v>
      </c>
      <c r="F630">
        <v>4</v>
      </c>
      <c r="G630">
        <v>6396</v>
      </c>
      <c r="H630" t="s">
        <v>66</v>
      </c>
      <c r="I630" t="s">
        <v>67</v>
      </c>
      <c r="J630" t="s">
        <v>25</v>
      </c>
      <c r="K630" t="s">
        <v>18</v>
      </c>
    </row>
    <row r="631" spans="1:11">
      <c r="A631" t="s">
        <v>869</v>
      </c>
      <c r="B631" t="s">
        <v>75</v>
      </c>
      <c r="C631" t="s">
        <v>76</v>
      </c>
      <c r="D631" t="s">
        <v>49</v>
      </c>
      <c r="E631">
        <v>1599</v>
      </c>
      <c r="F631">
        <v>5</v>
      </c>
      <c r="G631">
        <v>7995</v>
      </c>
      <c r="H631" t="s">
        <v>157</v>
      </c>
      <c r="I631" t="s">
        <v>44</v>
      </c>
      <c r="J631" t="s">
        <v>32</v>
      </c>
      <c r="K631" t="s">
        <v>18</v>
      </c>
    </row>
    <row r="632" spans="1:11">
      <c r="A632" t="s">
        <v>870</v>
      </c>
      <c r="B632" t="s">
        <v>408</v>
      </c>
      <c r="C632" t="s">
        <v>162</v>
      </c>
      <c r="D632" t="s">
        <v>29</v>
      </c>
      <c r="E632">
        <v>1799</v>
      </c>
      <c r="F632">
        <v>1</v>
      </c>
      <c r="G632">
        <v>1799</v>
      </c>
      <c r="H632" t="s">
        <v>89</v>
      </c>
      <c r="I632" t="s">
        <v>16</v>
      </c>
      <c r="J632" t="s">
        <v>25</v>
      </c>
      <c r="K632" t="s">
        <v>18</v>
      </c>
    </row>
    <row r="633" spans="1:11">
      <c r="A633" t="s">
        <v>871</v>
      </c>
      <c r="B633" t="s">
        <v>134</v>
      </c>
      <c r="C633" t="s">
        <v>48</v>
      </c>
      <c r="D633" t="s">
        <v>49</v>
      </c>
      <c r="E633">
        <v>699</v>
      </c>
      <c r="F633">
        <v>3</v>
      </c>
      <c r="G633">
        <v>2097</v>
      </c>
      <c r="H633" t="s">
        <v>56</v>
      </c>
      <c r="I633" t="s">
        <v>57</v>
      </c>
      <c r="J633" t="s">
        <v>25</v>
      </c>
      <c r="K633" t="s">
        <v>33</v>
      </c>
    </row>
    <row r="634" spans="1:11">
      <c r="A634" t="s">
        <v>872</v>
      </c>
      <c r="B634" t="s">
        <v>459</v>
      </c>
      <c r="C634" t="s">
        <v>80</v>
      </c>
      <c r="D634" t="s">
        <v>81</v>
      </c>
      <c r="E634">
        <v>299</v>
      </c>
      <c r="F634">
        <v>4</v>
      </c>
      <c r="G634">
        <v>1196</v>
      </c>
      <c r="H634" t="s">
        <v>56</v>
      </c>
      <c r="I634" t="s">
        <v>44</v>
      </c>
      <c r="J634" t="s">
        <v>90</v>
      </c>
      <c r="K634" t="s">
        <v>18</v>
      </c>
    </row>
    <row r="635" spans="1:11">
      <c r="A635" t="s">
        <v>873</v>
      </c>
      <c r="B635" t="s">
        <v>141</v>
      </c>
      <c r="C635" t="s">
        <v>48</v>
      </c>
      <c r="D635" t="s">
        <v>49</v>
      </c>
      <c r="E635">
        <v>699</v>
      </c>
      <c r="F635">
        <v>5</v>
      </c>
      <c r="G635">
        <v>3495</v>
      </c>
      <c r="H635" t="s">
        <v>119</v>
      </c>
      <c r="I635" t="s">
        <v>31</v>
      </c>
      <c r="J635" t="s">
        <v>17</v>
      </c>
      <c r="K635" t="s">
        <v>45</v>
      </c>
    </row>
    <row r="636" spans="1:11">
      <c r="A636" t="s">
        <v>874</v>
      </c>
      <c r="B636" t="s">
        <v>343</v>
      </c>
      <c r="C636" t="s">
        <v>36</v>
      </c>
      <c r="D636" t="s">
        <v>29</v>
      </c>
      <c r="E636">
        <v>1999</v>
      </c>
      <c r="F636">
        <v>4</v>
      </c>
      <c r="G636">
        <v>7996</v>
      </c>
      <c r="H636" t="s">
        <v>102</v>
      </c>
      <c r="I636" t="s">
        <v>24</v>
      </c>
      <c r="J636" t="s">
        <v>32</v>
      </c>
      <c r="K636" t="s">
        <v>45</v>
      </c>
    </row>
    <row r="637" spans="1:11">
      <c r="A637" t="s">
        <v>875</v>
      </c>
      <c r="B637" t="s">
        <v>189</v>
      </c>
      <c r="C637" t="s">
        <v>48</v>
      </c>
      <c r="D637" t="s">
        <v>49</v>
      </c>
      <c r="E637">
        <v>699</v>
      </c>
      <c r="F637">
        <v>5</v>
      </c>
      <c r="G637">
        <v>3495</v>
      </c>
      <c r="H637" t="s">
        <v>56</v>
      </c>
      <c r="I637" t="s">
        <v>16</v>
      </c>
      <c r="J637" t="s">
        <v>25</v>
      </c>
      <c r="K637" t="s">
        <v>18</v>
      </c>
    </row>
    <row r="638" spans="1:11">
      <c r="A638" t="s">
        <v>876</v>
      </c>
      <c r="B638" t="s">
        <v>445</v>
      </c>
      <c r="C638" t="s">
        <v>135</v>
      </c>
      <c r="D638" t="s">
        <v>29</v>
      </c>
      <c r="E638">
        <v>3999</v>
      </c>
      <c r="F638">
        <v>3</v>
      </c>
      <c r="G638">
        <v>11997</v>
      </c>
      <c r="H638" t="s">
        <v>102</v>
      </c>
      <c r="I638" t="s">
        <v>82</v>
      </c>
      <c r="J638" t="s">
        <v>90</v>
      </c>
      <c r="K638" t="s">
        <v>18</v>
      </c>
    </row>
    <row r="639" spans="1:11">
      <c r="A639" t="s">
        <v>877</v>
      </c>
      <c r="B639" t="s">
        <v>709</v>
      </c>
      <c r="C639" t="s">
        <v>80</v>
      </c>
      <c r="D639" t="s">
        <v>81</v>
      </c>
      <c r="E639">
        <v>299</v>
      </c>
      <c r="F639">
        <v>3</v>
      </c>
      <c r="G639">
        <v>897</v>
      </c>
      <c r="H639" t="s">
        <v>89</v>
      </c>
      <c r="I639" t="s">
        <v>24</v>
      </c>
      <c r="J639" t="s">
        <v>32</v>
      </c>
      <c r="K639" t="s">
        <v>18</v>
      </c>
    </row>
    <row r="640" spans="1:11">
      <c r="A640" t="s">
        <v>878</v>
      </c>
      <c r="B640" t="s">
        <v>132</v>
      </c>
      <c r="C640" t="s">
        <v>122</v>
      </c>
      <c r="D640" t="s">
        <v>29</v>
      </c>
      <c r="E640">
        <v>1299</v>
      </c>
      <c r="F640">
        <v>1</v>
      </c>
      <c r="G640">
        <v>1299</v>
      </c>
      <c r="H640" t="s">
        <v>71</v>
      </c>
      <c r="I640" t="s">
        <v>44</v>
      </c>
      <c r="J640" t="s">
        <v>38</v>
      </c>
      <c r="K640" t="s">
        <v>18</v>
      </c>
    </row>
    <row r="641" spans="1:11">
      <c r="A641" t="s">
        <v>879</v>
      </c>
      <c r="B641" t="s">
        <v>27</v>
      </c>
      <c r="C641" t="s">
        <v>80</v>
      </c>
      <c r="D641" t="s">
        <v>81</v>
      </c>
      <c r="E641">
        <v>299</v>
      </c>
      <c r="F641">
        <v>2</v>
      </c>
      <c r="G641">
        <v>598</v>
      </c>
      <c r="H641" t="s">
        <v>15</v>
      </c>
      <c r="I641" t="s">
        <v>98</v>
      </c>
      <c r="J641" t="s">
        <v>90</v>
      </c>
      <c r="K641" t="s">
        <v>33</v>
      </c>
    </row>
    <row r="642" spans="1:11">
      <c r="A642" t="s">
        <v>880</v>
      </c>
      <c r="B642" t="s">
        <v>314</v>
      </c>
      <c r="C642" t="s">
        <v>80</v>
      </c>
      <c r="D642" t="s">
        <v>81</v>
      </c>
      <c r="E642">
        <v>299</v>
      </c>
      <c r="F642">
        <v>4</v>
      </c>
      <c r="G642">
        <v>1196</v>
      </c>
      <c r="H642" t="s">
        <v>62</v>
      </c>
      <c r="I642" t="s">
        <v>77</v>
      </c>
      <c r="J642" t="s">
        <v>90</v>
      </c>
      <c r="K642" t="s">
        <v>18</v>
      </c>
    </row>
    <row r="643" spans="1:11">
      <c r="A643" t="s">
        <v>881</v>
      </c>
      <c r="B643" t="s">
        <v>450</v>
      </c>
      <c r="C643" t="s">
        <v>13</v>
      </c>
      <c r="D643" t="s">
        <v>14</v>
      </c>
      <c r="E643">
        <v>2499</v>
      </c>
      <c r="F643">
        <v>3</v>
      </c>
      <c r="G643">
        <v>7497</v>
      </c>
      <c r="H643" t="s">
        <v>15</v>
      </c>
      <c r="I643" t="s">
        <v>44</v>
      </c>
      <c r="J643" t="s">
        <v>25</v>
      </c>
      <c r="K643" t="s">
        <v>18</v>
      </c>
    </row>
    <row r="644" spans="1:11">
      <c r="A644" t="s">
        <v>882</v>
      </c>
      <c r="B644" t="s">
        <v>148</v>
      </c>
      <c r="C644" t="s">
        <v>48</v>
      </c>
      <c r="D644" t="s">
        <v>49</v>
      </c>
      <c r="E644">
        <v>699</v>
      </c>
      <c r="F644">
        <v>1</v>
      </c>
      <c r="G644">
        <v>699</v>
      </c>
      <c r="H644" t="s">
        <v>30</v>
      </c>
      <c r="I644" t="s">
        <v>31</v>
      </c>
      <c r="J644" t="s">
        <v>90</v>
      </c>
      <c r="K644" t="s">
        <v>18</v>
      </c>
    </row>
    <row r="645" spans="1:11">
      <c r="A645" t="s">
        <v>883</v>
      </c>
      <c r="B645" t="s">
        <v>675</v>
      </c>
      <c r="C645" t="s">
        <v>122</v>
      </c>
      <c r="D645" t="s">
        <v>29</v>
      </c>
      <c r="E645">
        <v>1299</v>
      </c>
      <c r="F645">
        <v>2</v>
      </c>
      <c r="G645">
        <v>2598</v>
      </c>
      <c r="H645" t="s">
        <v>56</v>
      </c>
      <c r="I645" t="s">
        <v>16</v>
      </c>
      <c r="J645" t="s">
        <v>38</v>
      </c>
      <c r="K645" t="s">
        <v>18</v>
      </c>
    </row>
    <row r="646" spans="1:11">
      <c r="A646" t="s">
        <v>884</v>
      </c>
      <c r="B646" t="s">
        <v>132</v>
      </c>
      <c r="C646" t="s">
        <v>28</v>
      </c>
      <c r="D646" t="s">
        <v>29</v>
      </c>
      <c r="E646">
        <v>1299</v>
      </c>
      <c r="F646">
        <v>2</v>
      </c>
      <c r="G646">
        <v>2598</v>
      </c>
      <c r="H646" t="s">
        <v>23</v>
      </c>
      <c r="I646" t="s">
        <v>63</v>
      </c>
      <c r="J646" t="s">
        <v>38</v>
      </c>
      <c r="K646" t="s">
        <v>18</v>
      </c>
    </row>
    <row r="647" spans="1:11">
      <c r="A647" t="s">
        <v>885</v>
      </c>
      <c r="B647" t="s">
        <v>886</v>
      </c>
      <c r="C647" t="s">
        <v>36</v>
      </c>
      <c r="D647" t="s">
        <v>29</v>
      </c>
      <c r="E647">
        <v>1999</v>
      </c>
      <c r="F647">
        <v>2</v>
      </c>
      <c r="G647">
        <v>3998</v>
      </c>
      <c r="H647" t="s">
        <v>89</v>
      </c>
      <c r="I647" t="s">
        <v>44</v>
      </c>
      <c r="J647" t="s">
        <v>90</v>
      </c>
      <c r="K647" t="s">
        <v>18</v>
      </c>
    </row>
    <row r="648" spans="1:11">
      <c r="A648" t="s">
        <v>887</v>
      </c>
      <c r="B648" t="s">
        <v>682</v>
      </c>
      <c r="C648" t="s">
        <v>13</v>
      </c>
      <c r="D648" t="s">
        <v>14</v>
      </c>
      <c r="E648">
        <v>2499</v>
      </c>
      <c r="F648">
        <v>1</v>
      </c>
      <c r="G648">
        <v>2499</v>
      </c>
      <c r="H648" t="s">
        <v>89</v>
      </c>
      <c r="I648" t="s">
        <v>57</v>
      </c>
      <c r="J648" t="s">
        <v>38</v>
      </c>
      <c r="K648" t="s">
        <v>45</v>
      </c>
    </row>
    <row r="649" spans="1:11">
      <c r="A649" t="s">
        <v>888</v>
      </c>
      <c r="B649" t="s">
        <v>124</v>
      </c>
      <c r="C649" t="s">
        <v>21</v>
      </c>
      <c r="D649" t="s">
        <v>22</v>
      </c>
      <c r="E649">
        <v>1499</v>
      </c>
      <c r="F649">
        <v>4</v>
      </c>
      <c r="G649">
        <v>5996</v>
      </c>
      <c r="H649" t="s">
        <v>66</v>
      </c>
      <c r="I649" t="s">
        <v>44</v>
      </c>
      <c r="J649" t="s">
        <v>17</v>
      </c>
      <c r="K649" t="s">
        <v>33</v>
      </c>
    </row>
    <row r="650" spans="1:11">
      <c r="A650" t="s">
        <v>889</v>
      </c>
      <c r="B650" t="s">
        <v>265</v>
      </c>
      <c r="C650" t="s">
        <v>76</v>
      </c>
      <c r="D650" t="s">
        <v>49</v>
      </c>
      <c r="E650">
        <v>1599</v>
      </c>
      <c r="F650">
        <v>1</v>
      </c>
      <c r="G650">
        <v>1599</v>
      </c>
      <c r="H650" t="s">
        <v>102</v>
      </c>
      <c r="I650" t="s">
        <v>31</v>
      </c>
      <c r="J650" t="s">
        <v>25</v>
      </c>
      <c r="K650" t="s">
        <v>18</v>
      </c>
    </row>
    <row r="651" spans="1:11">
      <c r="A651" t="s">
        <v>890</v>
      </c>
      <c r="B651" t="s">
        <v>173</v>
      </c>
      <c r="C651" t="s">
        <v>135</v>
      </c>
      <c r="D651" t="s">
        <v>29</v>
      </c>
      <c r="E651">
        <v>3999</v>
      </c>
      <c r="F651">
        <v>1</v>
      </c>
      <c r="G651">
        <v>3999</v>
      </c>
      <c r="H651" t="s">
        <v>119</v>
      </c>
      <c r="I651" t="s">
        <v>98</v>
      </c>
      <c r="J651" t="s">
        <v>90</v>
      </c>
      <c r="K651" t="s">
        <v>45</v>
      </c>
    </row>
    <row r="652" spans="1:11">
      <c r="A652" t="s">
        <v>891</v>
      </c>
      <c r="B652" t="s">
        <v>310</v>
      </c>
      <c r="C652" t="s">
        <v>48</v>
      </c>
      <c r="D652" t="s">
        <v>49</v>
      </c>
      <c r="E652">
        <v>699</v>
      </c>
      <c r="F652">
        <v>5</v>
      </c>
      <c r="G652">
        <v>3495</v>
      </c>
      <c r="H652" t="s">
        <v>89</v>
      </c>
      <c r="I652" t="s">
        <v>57</v>
      </c>
      <c r="J652" t="s">
        <v>32</v>
      </c>
      <c r="K652" t="s">
        <v>18</v>
      </c>
    </row>
    <row r="653" spans="1:11">
      <c r="A653" t="s">
        <v>892</v>
      </c>
      <c r="B653" t="s">
        <v>272</v>
      </c>
      <c r="C653" t="s">
        <v>80</v>
      </c>
      <c r="D653" t="s">
        <v>81</v>
      </c>
      <c r="E653">
        <v>299</v>
      </c>
      <c r="F653">
        <v>2</v>
      </c>
      <c r="G653">
        <v>598</v>
      </c>
      <c r="H653" t="s">
        <v>95</v>
      </c>
      <c r="I653" t="s">
        <v>67</v>
      </c>
      <c r="J653" t="s">
        <v>90</v>
      </c>
      <c r="K653" t="s">
        <v>33</v>
      </c>
    </row>
    <row r="654" spans="1:11">
      <c r="A654" t="s">
        <v>893</v>
      </c>
      <c r="B654" t="s">
        <v>173</v>
      </c>
      <c r="C654" t="s">
        <v>70</v>
      </c>
      <c r="D654" t="s">
        <v>29</v>
      </c>
      <c r="E654">
        <v>799</v>
      </c>
      <c r="F654">
        <v>2</v>
      </c>
      <c r="G654">
        <v>1598</v>
      </c>
      <c r="H654" t="s">
        <v>71</v>
      </c>
      <c r="I654" t="s">
        <v>31</v>
      </c>
      <c r="J654" t="s">
        <v>17</v>
      </c>
      <c r="K654" t="s">
        <v>45</v>
      </c>
    </row>
    <row r="655" spans="1:11">
      <c r="A655" t="s">
        <v>894</v>
      </c>
      <c r="B655" t="s">
        <v>217</v>
      </c>
      <c r="C655" t="s">
        <v>28</v>
      </c>
      <c r="D655" t="s">
        <v>29</v>
      </c>
      <c r="E655">
        <v>1299</v>
      </c>
      <c r="F655">
        <v>4</v>
      </c>
      <c r="G655">
        <v>5196</v>
      </c>
      <c r="H655" t="s">
        <v>37</v>
      </c>
      <c r="I655" t="s">
        <v>57</v>
      </c>
      <c r="J655" t="s">
        <v>25</v>
      </c>
      <c r="K655" t="s">
        <v>18</v>
      </c>
    </row>
    <row r="656" spans="1:11">
      <c r="A656" t="s">
        <v>895</v>
      </c>
      <c r="B656" t="s">
        <v>215</v>
      </c>
      <c r="C656" t="s">
        <v>36</v>
      </c>
      <c r="D656" t="s">
        <v>29</v>
      </c>
      <c r="E656">
        <v>1999</v>
      </c>
      <c r="F656">
        <v>4</v>
      </c>
      <c r="G656">
        <v>7996</v>
      </c>
      <c r="H656" t="s">
        <v>95</v>
      </c>
      <c r="I656" t="s">
        <v>63</v>
      </c>
      <c r="J656" t="s">
        <v>17</v>
      </c>
      <c r="K656" t="s">
        <v>45</v>
      </c>
    </row>
    <row r="657" spans="1:11">
      <c r="A657" t="s">
        <v>896</v>
      </c>
      <c r="B657" t="s">
        <v>391</v>
      </c>
      <c r="C657" t="s">
        <v>76</v>
      </c>
      <c r="D657" t="s">
        <v>49</v>
      </c>
      <c r="E657">
        <v>1599</v>
      </c>
      <c r="F657">
        <v>5</v>
      </c>
      <c r="G657">
        <v>7995</v>
      </c>
      <c r="H657" t="s">
        <v>23</v>
      </c>
      <c r="I657" t="s">
        <v>77</v>
      </c>
      <c r="J657" t="s">
        <v>32</v>
      </c>
      <c r="K657" t="s">
        <v>18</v>
      </c>
    </row>
    <row r="658" spans="1:11">
      <c r="A658" t="s">
        <v>897</v>
      </c>
      <c r="B658" t="s">
        <v>379</v>
      </c>
      <c r="C658" t="s">
        <v>70</v>
      </c>
      <c r="D658" t="s">
        <v>29</v>
      </c>
      <c r="E658">
        <v>799</v>
      </c>
      <c r="F658">
        <v>4</v>
      </c>
      <c r="G658">
        <v>3196</v>
      </c>
      <c r="H658" t="s">
        <v>23</v>
      </c>
      <c r="I658" t="s">
        <v>57</v>
      </c>
      <c r="J658" t="s">
        <v>25</v>
      </c>
      <c r="K658" t="s">
        <v>18</v>
      </c>
    </row>
    <row r="659" spans="1:11">
      <c r="A659" t="s">
        <v>898</v>
      </c>
      <c r="B659" t="s">
        <v>65</v>
      </c>
      <c r="C659" t="s">
        <v>70</v>
      </c>
      <c r="D659" t="s">
        <v>29</v>
      </c>
      <c r="E659">
        <v>799</v>
      </c>
      <c r="F659">
        <v>2</v>
      </c>
      <c r="G659">
        <v>1598</v>
      </c>
      <c r="H659" t="s">
        <v>66</v>
      </c>
      <c r="I659" t="s">
        <v>125</v>
      </c>
      <c r="J659" t="s">
        <v>17</v>
      </c>
      <c r="K659" t="s">
        <v>45</v>
      </c>
    </row>
    <row r="660" spans="1:11">
      <c r="A660" t="s">
        <v>899</v>
      </c>
      <c r="B660" t="s">
        <v>42</v>
      </c>
      <c r="C660" t="s">
        <v>135</v>
      </c>
      <c r="D660" t="s">
        <v>29</v>
      </c>
      <c r="E660">
        <v>3999</v>
      </c>
      <c r="F660">
        <v>5</v>
      </c>
      <c r="G660">
        <v>19995</v>
      </c>
      <c r="H660" t="s">
        <v>157</v>
      </c>
      <c r="I660" t="s">
        <v>24</v>
      </c>
      <c r="J660" t="s">
        <v>17</v>
      </c>
      <c r="K660" t="s">
        <v>18</v>
      </c>
    </row>
    <row r="661" spans="1:11">
      <c r="A661" t="s">
        <v>900</v>
      </c>
      <c r="B661" t="s">
        <v>210</v>
      </c>
      <c r="C661" t="s">
        <v>36</v>
      </c>
      <c r="D661" t="s">
        <v>29</v>
      </c>
      <c r="E661">
        <v>1999</v>
      </c>
      <c r="F661">
        <v>1</v>
      </c>
      <c r="G661">
        <v>1999</v>
      </c>
      <c r="H661" t="s">
        <v>56</v>
      </c>
      <c r="I661" t="s">
        <v>82</v>
      </c>
      <c r="J661" t="s">
        <v>17</v>
      </c>
      <c r="K661" t="s">
        <v>18</v>
      </c>
    </row>
    <row r="662" spans="1:11">
      <c r="A662" t="s">
        <v>901</v>
      </c>
      <c r="B662" t="s">
        <v>474</v>
      </c>
      <c r="C662" t="s">
        <v>122</v>
      </c>
      <c r="D662" t="s">
        <v>29</v>
      </c>
      <c r="E662">
        <v>1299</v>
      </c>
      <c r="F662">
        <v>5</v>
      </c>
      <c r="G662">
        <v>6495</v>
      </c>
      <c r="H662" t="s">
        <v>186</v>
      </c>
      <c r="I662" t="s">
        <v>67</v>
      </c>
      <c r="J662" t="s">
        <v>25</v>
      </c>
      <c r="K662" t="s">
        <v>45</v>
      </c>
    </row>
    <row r="663" spans="1:11">
      <c r="A663" t="s">
        <v>902</v>
      </c>
      <c r="B663" t="s">
        <v>343</v>
      </c>
      <c r="C663" t="s">
        <v>28</v>
      </c>
      <c r="D663" t="s">
        <v>29</v>
      </c>
      <c r="E663">
        <v>1299</v>
      </c>
      <c r="F663">
        <v>3</v>
      </c>
      <c r="G663">
        <v>3897</v>
      </c>
      <c r="H663" t="s">
        <v>37</v>
      </c>
      <c r="I663" t="s">
        <v>24</v>
      </c>
      <c r="J663" t="s">
        <v>32</v>
      </c>
      <c r="K663" t="s">
        <v>45</v>
      </c>
    </row>
    <row r="664" spans="1:11">
      <c r="A664" t="s">
        <v>903</v>
      </c>
      <c r="B664" t="s">
        <v>303</v>
      </c>
      <c r="C664" t="s">
        <v>101</v>
      </c>
      <c r="D664" t="s">
        <v>81</v>
      </c>
      <c r="E664">
        <v>499</v>
      </c>
      <c r="F664">
        <v>4</v>
      </c>
      <c r="G664">
        <v>1996</v>
      </c>
      <c r="H664" t="s">
        <v>102</v>
      </c>
      <c r="I664" t="s">
        <v>16</v>
      </c>
      <c r="J664" t="s">
        <v>17</v>
      </c>
      <c r="K664" t="s">
        <v>45</v>
      </c>
    </row>
    <row r="665" spans="1:11">
      <c r="A665" t="s">
        <v>904</v>
      </c>
      <c r="B665" t="s">
        <v>134</v>
      </c>
      <c r="C665" t="s">
        <v>76</v>
      </c>
      <c r="D665" t="s">
        <v>49</v>
      </c>
      <c r="E665">
        <v>1599</v>
      </c>
      <c r="F665">
        <v>4</v>
      </c>
      <c r="G665">
        <v>6396</v>
      </c>
      <c r="H665" t="s">
        <v>102</v>
      </c>
      <c r="I665" t="s">
        <v>82</v>
      </c>
      <c r="J665" t="s">
        <v>25</v>
      </c>
      <c r="K665" t="s">
        <v>18</v>
      </c>
    </row>
    <row r="666" spans="1:11">
      <c r="A666" t="s">
        <v>905</v>
      </c>
      <c r="B666" t="s">
        <v>189</v>
      </c>
      <c r="C666" t="s">
        <v>21</v>
      </c>
      <c r="D666" t="s">
        <v>22</v>
      </c>
      <c r="E666">
        <v>1499</v>
      </c>
      <c r="F666">
        <v>4</v>
      </c>
      <c r="G666">
        <v>5996</v>
      </c>
      <c r="H666" t="s">
        <v>186</v>
      </c>
      <c r="I666" t="s">
        <v>44</v>
      </c>
      <c r="J666" t="s">
        <v>90</v>
      </c>
      <c r="K666" t="s">
        <v>18</v>
      </c>
    </row>
    <row r="667" spans="1:11">
      <c r="A667" t="s">
        <v>906</v>
      </c>
      <c r="B667" t="s">
        <v>40</v>
      </c>
      <c r="C667" t="s">
        <v>101</v>
      </c>
      <c r="D667" t="s">
        <v>81</v>
      </c>
      <c r="E667">
        <v>499</v>
      </c>
      <c r="F667">
        <v>1</v>
      </c>
      <c r="G667">
        <v>499</v>
      </c>
      <c r="H667" t="s">
        <v>89</v>
      </c>
      <c r="I667" t="s">
        <v>57</v>
      </c>
      <c r="J667" t="s">
        <v>38</v>
      </c>
      <c r="K667" t="s">
        <v>18</v>
      </c>
    </row>
    <row r="668" spans="1:11">
      <c r="A668" t="s">
        <v>907</v>
      </c>
      <c r="B668" t="s">
        <v>510</v>
      </c>
      <c r="C668" t="s">
        <v>162</v>
      </c>
      <c r="D668" t="s">
        <v>29</v>
      </c>
      <c r="E668">
        <v>1799</v>
      </c>
      <c r="F668">
        <v>2</v>
      </c>
      <c r="G668">
        <v>3598</v>
      </c>
      <c r="H668" t="s">
        <v>157</v>
      </c>
      <c r="I668" t="s">
        <v>16</v>
      </c>
      <c r="J668" t="s">
        <v>38</v>
      </c>
      <c r="K668" t="s">
        <v>18</v>
      </c>
    </row>
    <row r="669" spans="1:11">
      <c r="A669" t="s">
        <v>908</v>
      </c>
      <c r="B669" t="s">
        <v>246</v>
      </c>
      <c r="C669" t="s">
        <v>135</v>
      </c>
      <c r="D669" t="s">
        <v>29</v>
      </c>
      <c r="E669">
        <v>3999</v>
      </c>
      <c r="F669">
        <v>4</v>
      </c>
      <c r="G669">
        <v>15996</v>
      </c>
      <c r="H669" t="s">
        <v>66</v>
      </c>
      <c r="I669" t="s">
        <v>44</v>
      </c>
      <c r="J669" t="s">
        <v>32</v>
      </c>
      <c r="K669" t="s">
        <v>18</v>
      </c>
    </row>
    <row r="670" spans="1:11">
      <c r="A670" t="s">
        <v>909</v>
      </c>
      <c r="B670" t="s">
        <v>265</v>
      </c>
      <c r="C670" t="s">
        <v>36</v>
      </c>
      <c r="D670" t="s">
        <v>29</v>
      </c>
      <c r="E670">
        <v>1999</v>
      </c>
      <c r="F670">
        <v>5</v>
      </c>
      <c r="G670">
        <v>9995</v>
      </c>
      <c r="H670" t="s">
        <v>95</v>
      </c>
      <c r="I670" t="s">
        <v>44</v>
      </c>
      <c r="J670" t="s">
        <v>38</v>
      </c>
      <c r="K670" t="s">
        <v>33</v>
      </c>
    </row>
    <row r="671" spans="1:11">
      <c r="A671" t="s">
        <v>910</v>
      </c>
      <c r="B671" t="s">
        <v>748</v>
      </c>
      <c r="C671" t="s">
        <v>60</v>
      </c>
      <c r="D671" t="s">
        <v>61</v>
      </c>
      <c r="E671">
        <v>899</v>
      </c>
      <c r="F671">
        <v>1</v>
      </c>
      <c r="G671">
        <v>899</v>
      </c>
      <c r="H671" t="s">
        <v>15</v>
      </c>
      <c r="I671" t="s">
        <v>105</v>
      </c>
      <c r="J671" t="s">
        <v>25</v>
      </c>
      <c r="K671" t="s">
        <v>18</v>
      </c>
    </row>
    <row r="672" spans="1:11">
      <c r="A672" t="s">
        <v>911</v>
      </c>
      <c r="B672" t="s">
        <v>239</v>
      </c>
      <c r="C672" t="s">
        <v>122</v>
      </c>
      <c r="D672" t="s">
        <v>29</v>
      </c>
      <c r="E672">
        <v>1299</v>
      </c>
      <c r="F672">
        <v>2</v>
      </c>
      <c r="G672">
        <v>2598</v>
      </c>
      <c r="H672" t="s">
        <v>71</v>
      </c>
      <c r="I672" t="s">
        <v>98</v>
      </c>
      <c r="J672" t="s">
        <v>38</v>
      </c>
      <c r="K672" t="s">
        <v>18</v>
      </c>
    </row>
    <row r="673" spans="1:11">
      <c r="A673" t="s">
        <v>912</v>
      </c>
      <c r="B673" t="s">
        <v>12</v>
      </c>
      <c r="C673" t="s">
        <v>13</v>
      </c>
      <c r="D673" t="s">
        <v>14</v>
      </c>
      <c r="E673">
        <v>2499</v>
      </c>
      <c r="F673">
        <v>1</v>
      </c>
      <c r="G673">
        <v>2499</v>
      </c>
      <c r="H673" t="s">
        <v>186</v>
      </c>
      <c r="I673" t="s">
        <v>67</v>
      </c>
      <c r="J673" t="s">
        <v>32</v>
      </c>
      <c r="K673" t="s">
        <v>18</v>
      </c>
    </row>
    <row r="674" spans="1:11">
      <c r="A674" t="s">
        <v>913</v>
      </c>
      <c r="B674" t="s">
        <v>343</v>
      </c>
      <c r="C674" t="s">
        <v>87</v>
      </c>
      <c r="D674" t="s">
        <v>88</v>
      </c>
      <c r="E674">
        <v>5499</v>
      </c>
      <c r="F674">
        <v>2</v>
      </c>
      <c r="G674">
        <v>10998</v>
      </c>
      <c r="H674" t="s">
        <v>71</v>
      </c>
      <c r="I674" t="s">
        <v>31</v>
      </c>
      <c r="J674" t="s">
        <v>38</v>
      </c>
      <c r="K674" t="s">
        <v>18</v>
      </c>
    </row>
    <row r="675" spans="1:11">
      <c r="A675" t="s">
        <v>914</v>
      </c>
      <c r="B675" t="s">
        <v>65</v>
      </c>
      <c r="C675" t="s">
        <v>122</v>
      </c>
      <c r="D675" t="s">
        <v>29</v>
      </c>
      <c r="E675">
        <v>1299</v>
      </c>
      <c r="F675">
        <v>3</v>
      </c>
      <c r="G675">
        <v>3897</v>
      </c>
      <c r="H675" t="s">
        <v>102</v>
      </c>
      <c r="I675" t="s">
        <v>105</v>
      </c>
      <c r="J675" t="s">
        <v>32</v>
      </c>
      <c r="K675" t="s">
        <v>33</v>
      </c>
    </row>
    <row r="676" spans="1:11">
      <c r="A676" t="s">
        <v>915</v>
      </c>
      <c r="B676" t="s">
        <v>269</v>
      </c>
      <c r="C676" t="s">
        <v>36</v>
      </c>
      <c r="D676" t="s">
        <v>29</v>
      </c>
      <c r="E676">
        <v>1999</v>
      </c>
      <c r="F676">
        <v>1</v>
      </c>
      <c r="G676">
        <v>1999</v>
      </c>
      <c r="H676" t="s">
        <v>43</v>
      </c>
      <c r="I676" t="s">
        <v>16</v>
      </c>
      <c r="J676" t="s">
        <v>17</v>
      </c>
      <c r="K676" t="s">
        <v>18</v>
      </c>
    </row>
    <row r="677" spans="1:11">
      <c r="A677" t="s">
        <v>916</v>
      </c>
      <c r="B677" t="s">
        <v>274</v>
      </c>
      <c r="C677" t="s">
        <v>80</v>
      </c>
      <c r="D677" t="s">
        <v>81</v>
      </c>
      <c r="E677">
        <v>299</v>
      </c>
      <c r="F677">
        <v>5</v>
      </c>
      <c r="G677">
        <v>1495</v>
      </c>
      <c r="H677" t="s">
        <v>157</v>
      </c>
      <c r="I677" t="s">
        <v>125</v>
      </c>
      <c r="J677" t="s">
        <v>25</v>
      </c>
      <c r="K677" t="s">
        <v>18</v>
      </c>
    </row>
    <row r="678" spans="1:11">
      <c r="A678" t="s">
        <v>917</v>
      </c>
      <c r="B678" t="s">
        <v>183</v>
      </c>
      <c r="C678" t="s">
        <v>135</v>
      </c>
      <c r="D678" t="s">
        <v>29</v>
      </c>
      <c r="E678">
        <v>3999</v>
      </c>
      <c r="F678">
        <v>4</v>
      </c>
      <c r="G678">
        <v>15996</v>
      </c>
      <c r="H678" t="s">
        <v>102</v>
      </c>
      <c r="I678" t="s">
        <v>63</v>
      </c>
      <c r="J678" t="s">
        <v>90</v>
      </c>
      <c r="K678" t="s">
        <v>18</v>
      </c>
    </row>
    <row r="679" spans="1:11">
      <c r="A679" t="s">
        <v>918</v>
      </c>
      <c r="B679" t="s">
        <v>408</v>
      </c>
      <c r="C679" t="s">
        <v>87</v>
      </c>
      <c r="D679" t="s">
        <v>88</v>
      </c>
      <c r="E679">
        <v>5499</v>
      </c>
      <c r="F679">
        <v>3</v>
      </c>
      <c r="G679">
        <v>16497</v>
      </c>
      <c r="H679" t="s">
        <v>37</v>
      </c>
      <c r="I679" t="s">
        <v>16</v>
      </c>
      <c r="J679" t="s">
        <v>90</v>
      </c>
      <c r="K679" t="s">
        <v>18</v>
      </c>
    </row>
    <row r="680" spans="1:11">
      <c r="A680" t="s">
        <v>919</v>
      </c>
      <c r="B680" t="s">
        <v>215</v>
      </c>
      <c r="C680" t="s">
        <v>76</v>
      </c>
      <c r="D680" t="s">
        <v>49</v>
      </c>
      <c r="E680">
        <v>1599</v>
      </c>
      <c r="F680">
        <v>2</v>
      </c>
      <c r="G680">
        <v>3198</v>
      </c>
      <c r="H680" t="s">
        <v>37</v>
      </c>
      <c r="I680" t="s">
        <v>125</v>
      </c>
      <c r="J680" t="s">
        <v>17</v>
      </c>
      <c r="K680" t="s">
        <v>18</v>
      </c>
    </row>
    <row r="681" spans="1:11">
      <c r="A681" t="s">
        <v>920</v>
      </c>
      <c r="B681" t="s">
        <v>42</v>
      </c>
      <c r="C681" t="s">
        <v>70</v>
      </c>
      <c r="D681" t="s">
        <v>29</v>
      </c>
      <c r="E681">
        <v>799</v>
      </c>
      <c r="F681">
        <v>3</v>
      </c>
      <c r="G681">
        <v>2397</v>
      </c>
      <c r="H681" t="s">
        <v>56</v>
      </c>
      <c r="I681" t="s">
        <v>77</v>
      </c>
      <c r="J681" t="s">
        <v>25</v>
      </c>
      <c r="K681" t="s">
        <v>18</v>
      </c>
    </row>
    <row r="682" spans="1:11">
      <c r="A682" t="s">
        <v>921</v>
      </c>
      <c r="B682" t="s">
        <v>502</v>
      </c>
      <c r="C682" t="s">
        <v>60</v>
      </c>
      <c r="D682" t="s">
        <v>61</v>
      </c>
      <c r="E682">
        <v>899</v>
      </c>
      <c r="F682">
        <v>2</v>
      </c>
      <c r="G682">
        <v>1798</v>
      </c>
      <c r="H682" t="s">
        <v>89</v>
      </c>
      <c r="I682" t="s">
        <v>82</v>
      </c>
      <c r="J682" t="s">
        <v>25</v>
      </c>
      <c r="K682" t="s">
        <v>18</v>
      </c>
    </row>
    <row r="683" spans="1:11">
      <c r="A683" t="s">
        <v>922</v>
      </c>
      <c r="B683" t="s">
        <v>215</v>
      </c>
      <c r="C683" t="s">
        <v>76</v>
      </c>
      <c r="D683" t="s">
        <v>49</v>
      </c>
      <c r="E683">
        <v>1599</v>
      </c>
      <c r="F683">
        <v>4</v>
      </c>
      <c r="G683">
        <v>6396</v>
      </c>
      <c r="H683" t="s">
        <v>71</v>
      </c>
      <c r="I683" t="s">
        <v>82</v>
      </c>
      <c r="J683" t="s">
        <v>32</v>
      </c>
      <c r="K683" t="s">
        <v>45</v>
      </c>
    </row>
    <row r="684" spans="1:11">
      <c r="A684" t="s">
        <v>923</v>
      </c>
      <c r="B684" t="s">
        <v>429</v>
      </c>
      <c r="C684" t="s">
        <v>52</v>
      </c>
      <c r="D684" t="s">
        <v>53</v>
      </c>
      <c r="E684">
        <v>199</v>
      </c>
      <c r="F684">
        <v>5</v>
      </c>
      <c r="G684">
        <v>995</v>
      </c>
      <c r="H684" t="s">
        <v>66</v>
      </c>
      <c r="I684" t="s">
        <v>82</v>
      </c>
      <c r="J684" t="s">
        <v>17</v>
      </c>
      <c r="K684" t="s">
        <v>18</v>
      </c>
    </row>
    <row r="685" spans="1:11">
      <c r="A685" t="s">
        <v>924</v>
      </c>
      <c r="B685" t="s">
        <v>925</v>
      </c>
      <c r="C685" t="s">
        <v>52</v>
      </c>
      <c r="D685" t="s">
        <v>53</v>
      </c>
      <c r="E685">
        <v>199</v>
      </c>
      <c r="F685">
        <v>4</v>
      </c>
      <c r="G685">
        <v>796</v>
      </c>
      <c r="H685" t="s">
        <v>89</v>
      </c>
      <c r="I685" t="s">
        <v>31</v>
      </c>
      <c r="J685" t="s">
        <v>25</v>
      </c>
      <c r="K685" t="s">
        <v>33</v>
      </c>
    </row>
    <row r="686" spans="1:11">
      <c r="A686" t="s">
        <v>926</v>
      </c>
      <c r="B686" t="s">
        <v>274</v>
      </c>
      <c r="C686" t="s">
        <v>87</v>
      </c>
      <c r="D686" t="s">
        <v>88</v>
      </c>
      <c r="E686">
        <v>5499</v>
      </c>
      <c r="F686">
        <v>5</v>
      </c>
      <c r="G686">
        <v>27495</v>
      </c>
      <c r="H686" t="s">
        <v>89</v>
      </c>
      <c r="I686" t="s">
        <v>57</v>
      </c>
      <c r="J686" t="s">
        <v>90</v>
      </c>
      <c r="K686" t="s">
        <v>45</v>
      </c>
    </row>
    <row r="687" spans="1:11">
      <c r="A687" t="s">
        <v>927</v>
      </c>
      <c r="B687" t="s">
        <v>415</v>
      </c>
      <c r="C687" t="s">
        <v>80</v>
      </c>
      <c r="D687" t="s">
        <v>81</v>
      </c>
      <c r="E687">
        <v>299</v>
      </c>
      <c r="F687">
        <v>3</v>
      </c>
      <c r="G687">
        <v>897</v>
      </c>
      <c r="H687" t="s">
        <v>56</v>
      </c>
      <c r="I687" t="s">
        <v>98</v>
      </c>
      <c r="J687" t="s">
        <v>32</v>
      </c>
      <c r="K687" t="s">
        <v>18</v>
      </c>
    </row>
    <row r="688" spans="1:11">
      <c r="A688" t="s">
        <v>928</v>
      </c>
      <c r="B688" t="s">
        <v>633</v>
      </c>
      <c r="C688" t="s">
        <v>13</v>
      </c>
      <c r="D688" t="s">
        <v>14</v>
      </c>
      <c r="E688">
        <v>2499</v>
      </c>
      <c r="F688">
        <v>3</v>
      </c>
      <c r="G688">
        <v>7497</v>
      </c>
      <c r="H688" t="s">
        <v>71</v>
      </c>
      <c r="I688" t="s">
        <v>67</v>
      </c>
      <c r="J688" t="s">
        <v>90</v>
      </c>
      <c r="K688" t="s">
        <v>33</v>
      </c>
    </row>
    <row r="689" spans="1:11">
      <c r="A689" t="s">
        <v>929</v>
      </c>
      <c r="B689" t="s">
        <v>260</v>
      </c>
      <c r="C689" t="s">
        <v>70</v>
      </c>
      <c r="D689" t="s">
        <v>29</v>
      </c>
      <c r="E689">
        <v>799</v>
      </c>
      <c r="F689">
        <v>1</v>
      </c>
      <c r="G689">
        <v>799</v>
      </c>
      <c r="H689" t="s">
        <v>186</v>
      </c>
      <c r="I689" t="s">
        <v>82</v>
      </c>
      <c r="J689" t="s">
        <v>90</v>
      </c>
      <c r="K689" t="s">
        <v>18</v>
      </c>
    </row>
    <row r="690" spans="1:11">
      <c r="A690" t="s">
        <v>930</v>
      </c>
      <c r="B690" t="s">
        <v>391</v>
      </c>
      <c r="C690" t="s">
        <v>70</v>
      </c>
      <c r="D690" t="s">
        <v>29</v>
      </c>
      <c r="E690">
        <v>799</v>
      </c>
      <c r="F690">
        <v>1</v>
      </c>
      <c r="G690">
        <v>799</v>
      </c>
      <c r="H690" t="s">
        <v>43</v>
      </c>
      <c r="I690" t="s">
        <v>24</v>
      </c>
      <c r="J690" t="s">
        <v>90</v>
      </c>
      <c r="K690" t="s">
        <v>18</v>
      </c>
    </row>
    <row r="691" spans="1:11">
      <c r="A691" t="s">
        <v>931</v>
      </c>
      <c r="B691" t="s">
        <v>219</v>
      </c>
      <c r="C691" t="s">
        <v>52</v>
      </c>
      <c r="D691" t="s">
        <v>53</v>
      </c>
      <c r="E691">
        <v>199</v>
      </c>
      <c r="F691">
        <v>3</v>
      </c>
      <c r="G691">
        <v>597</v>
      </c>
      <c r="H691" t="s">
        <v>95</v>
      </c>
      <c r="I691" t="s">
        <v>98</v>
      </c>
      <c r="J691" t="s">
        <v>90</v>
      </c>
      <c r="K691" t="s">
        <v>18</v>
      </c>
    </row>
    <row r="692" spans="1:11">
      <c r="A692" t="s">
        <v>932</v>
      </c>
      <c r="B692" t="s">
        <v>933</v>
      </c>
      <c r="C692" t="s">
        <v>52</v>
      </c>
      <c r="D692" t="s">
        <v>53</v>
      </c>
      <c r="E692">
        <v>199</v>
      </c>
      <c r="F692">
        <v>1</v>
      </c>
      <c r="G692">
        <v>199</v>
      </c>
      <c r="H692" t="s">
        <v>95</v>
      </c>
      <c r="I692" t="s">
        <v>77</v>
      </c>
      <c r="J692" t="s">
        <v>38</v>
      </c>
      <c r="K692" t="s">
        <v>18</v>
      </c>
    </row>
    <row r="693" spans="1:11">
      <c r="A693" t="s">
        <v>934</v>
      </c>
      <c r="B693" t="s">
        <v>568</v>
      </c>
      <c r="C693" t="s">
        <v>135</v>
      </c>
      <c r="D693" t="s">
        <v>29</v>
      </c>
      <c r="E693">
        <v>3999</v>
      </c>
      <c r="F693">
        <v>4</v>
      </c>
      <c r="G693">
        <v>15996</v>
      </c>
      <c r="H693" t="s">
        <v>66</v>
      </c>
      <c r="I693" t="s">
        <v>24</v>
      </c>
      <c r="J693" t="s">
        <v>25</v>
      </c>
      <c r="K693" t="s">
        <v>33</v>
      </c>
    </row>
    <row r="694" spans="1:11">
      <c r="A694" t="s">
        <v>935</v>
      </c>
      <c r="B694" t="s">
        <v>73</v>
      </c>
      <c r="C694" t="s">
        <v>135</v>
      </c>
      <c r="D694" t="s">
        <v>29</v>
      </c>
      <c r="E694">
        <v>3999</v>
      </c>
      <c r="F694">
        <v>4</v>
      </c>
      <c r="G694">
        <v>15996</v>
      </c>
      <c r="H694" t="s">
        <v>30</v>
      </c>
      <c r="I694" t="s">
        <v>67</v>
      </c>
      <c r="J694" t="s">
        <v>25</v>
      </c>
      <c r="K694" t="s">
        <v>33</v>
      </c>
    </row>
    <row r="695" spans="1:11">
      <c r="A695" t="s">
        <v>936</v>
      </c>
      <c r="B695" t="s">
        <v>241</v>
      </c>
      <c r="C695" t="s">
        <v>87</v>
      </c>
      <c r="D695" t="s">
        <v>88</v>
      </c>
      <c r="E695">
        <v>5499</v>
      </c>
      <c r="F695">
        <v>4</v>
      </c>
      <c r="G695">
        <v>21996</v>
      </c>
      <c r="H695" t="s">
        <v>89</v>
      </c>
      <c r="I695" t="s">
        <v>63</v>
      </c>
      <c r="J695" t="s">
        <v>90</v>
      </c>
      <c r="K695" t="s">
        <v>45</v>
      </c>
    </row>
    <row r="696" spans="1:11">
      <c r="A696" t="s">
        <v>937</v>
      </c>
      <c r="B696" t="s">
        <v>237</v>
      </c>
      <c r="C696" t="s">
        <v>70</v>
      </c>
      <c r="D696" t="s">
        <v>29</v>
      </c>
      <c r="E696">
        <v>799</v>
      </c>
      <c r="F696">
        <v>4</v>
      </c>
      <c r="G696">
        <v>3196</v>
      </c>
      <c r="H696" t="s">
        <v>157</v>
      </c>
      <c r="I696" t="s">
        <v>31</v>
      </c>
      <c r="J696" t="s">
        <v>25</v>
      </c>
      <c r="K696" t="s">
        <v>18</v>
      </c>
    </row>
    <row r="697" spans="1:11">
      <c r="A697" t="s">
        <v>938</v>
      </c>
      <c r="B697" t="s">
        <v>104</v>
      </c>
      <c r="C697" t="s">
        <v>101</v>
      </c>
      <c r="D697" t="s">
        <v>81</v>
      </c>
      <c r="E697">
        <v>499</v>
      </c>
      <c r="F697">
        <v>1</v>
      </c>
      <c r="G697">
        <v>499</v>
      </c>
      <c r="H697" t="s">
        <v>95</v>
      </c>
      <c r="I697" t="s">
        <v>31</v>
      </c>
      <c r="J697" t="s">
        <v>17</v>
      </c>
      <c r="K697" t="s">
        <v>18</v>
      </c>
    </row>
    <row r="698" spans="1:11">
      <c r="A698" t="s">
        <v>939</v>
      </c>
      <c r="B698" t="s">
        <v>200</v>
      </c>
      <c r="C698" t="s">
        <v>87</v>
      </c>
      <c r="D698" t="s">
        <v>88</v>
      </c>
      <c r="E698">
        <v>5499</v>
      </c>
      <c r="F698">
        <v>4</v>
      </c>
      <c r="G698">
        <v>21996</v>
      </c>
      <c r="H698" t="s">
        <v>37</v>
      </c>
      <c r="I698" t="s">
        <v>67</v>
      </c>
      <c r="J698" t="s">
        <v>25</v>
      </c>
      <c r="K698" t="s">
        <v>18</v>
      </c>
    </row>
    <row r="699" spans="1:11">
      <c r="A699" t="s">
        <v>940</v>
      </c>
      <c r="B699" t="s">
        <v>221</v>
      </c>
      <c r="C699" t="s">
        <v>48</v>
      </c>
      <c r="D699" t="s">
        <v>49</v>
      </c>
      <c r="E699">
        <v>699</v>
      </c>
      <c r="F699">
        <v>5</v>
      </c>
      <c r="G699">
        <v>3495</v>
      </c>
      <c r="H699" t="s">
        <v>102</v>
      </c>
      <c r="I699" t="s">
        <v>44</v>
      </c>
      <c r="J699" t="s">
        <v>90</v>
      </c>
      <c r="K699" t="s">
        <v>33</v>
      </c>
    </row>
    <row r="700" spans="1:11">
      <c r="A700" t="s">
        <v>941</v>
      </c>
      <c r="B700" t="s">
        <v>73</v>
      </c>
      <c r="C700" t="s">
        <v>70</v>
      </c>
      <c r="D700" t="s">
        <v>29</v>
      </c>
      <c r="E700">
        <v>799</v>
      </c>
      <c r="F700">
        <v>2</v>
      </c>
      <c r="G700">
        <v>1598</v>
      </c>
      <c r="H700" t="s">
        <v>23</v>
      </c>
      <c r="I700" t="s">
        <v>67</v>
      </c>
      <c r="J700" t="s">
        <v>32</v>
      </c>
      <c r="K700" t="s">
        <v>18</v>
      </c>
    </row>
    <row r="701" spans="1:11">
      <c r="A701" t="s">
        <v>942</v>
      </c>
      <c r="B701" t="s">
        <v>395</v>
      </c>
      <c r="C701" t="s">
        <v>87</v>
      </c>
      <c r="D701" t="s">
        <v>88</v>
      </c>
      <c r="E701">
        <v>5499</v>
      </c>
      <c r="F701">
        <v>3</v>
      </c>
      <c r="G701">
        <v>16497</v>
      </c>
      <c r="H701" t="s">
        <v>119</v>
      </c>
      <c r="I701" t="s">
        <v>98</v>
      </c>
      <c r="J701" t="s">
        <v>17</v>
      </c>
      <c r="K701" t="s">
        <v>18</v>
      </c>
    </row>
    <row r="702" spans="1:11">
      <c r="A702" t="s">
        <v>943</v>
      </c>
      <c r="B702" t="s">
        <v>598</v>
      </c>
      <c r="C702" t="s">
        <v>80</v>
      </c>
      <c r="D702" t="s">
        <v>81</v>
      </c>
      <c r="E702">
        <v>299</v>
      </c>
      <c r="F702">
        <v>5</v>
      </c>
      <c r="G702">
        <v>1495</v>
      </c>
      <c r="H702" t="s">
        <v>66</v>
      </c>
      <c r="I702" t="s">
        <v>82</v>
      </c>
      <c r="J702" t="s">
        <v>25</v>
      </c>
      <c r="K702" t="s">
        <v>18</v>
      </c>
    </row>
    <row r="703" spans="1:11">
      <c r="A703" t="s">
        <v>944</v>
      </c>
      <c r="B703" t="s">
        <v>212</v>
      </c>
      <c r="C703" t="s">
        <v>122</v>
      </c>
      <c r="D703" t="s">
        <v>29</v>
      </c>
      <c r="E703">
        <v>1299</v>
      </c>
      <c r="F703">
        <v>2</v>
      </c>
      <c r="G703">
        <v>2598</v>
      </c>
      <c r="H703" t="s">
        <v>157</v>
      </c>
      <c r="I703" t="s">
        <v>67</v>
      </c>
      <c r="J703" t="s">
        <v>25</v>
      </c>
      <c r="K703" t="s">
        <v>45</v>
      </c>
    </row>
    <row r="704" spans="1:11">
      <c r="A704" t="s">
        <v>945</v>
      </c>
      <c r="B704" t="s">
        <v>487</v>
      </c>
      <c r="C704" t="s">
        <v>80</v>
      </c>
      <c r="D704" t="s">
        <v>81</v>
      </c>
      <c r="E704">
        <v>299</v>
      </c>
      <c r="F704">
        <v>5</v>
      </c>
      <c r="G704">
        <v>1495</v>
      </c>
      <c r="H704" t="s">
        <v>157</v>
      </c>
      <c r="I704" t="s">
        <v>82</v>
      </c>
      <c r="J704" t="s">
        <v>17</v>
      </c>
      <c r="K704" t="s">
        <v>18</v>
      </c>
    </row>
    <row r="705" spans="1:11">
      <c r="A705" t="s">
        <v>946</v>
      </c>
      <c r="B705" t="s">
        <v>171</v>
      </c>
      <c r="C705" t="s">
        <v>28</v>
      </c>
      <c r="D705" t="s">
        <v>29</v>
      </c>
      <c r="E705">
        <v>1299</v>
      </c>
      <c r="F705">
        <v>2</v>
      </c>
      <c r="G705">
        <v>2598</v>
      </c>
      <c r="H705" t="s">
        <v>95</v>
      </c>
      <c r="I705" t="s">
        <v>63</v>
      </c>
      <c r="J705" t="s">
        <v>90</v>
      </c>
      <c r="K705" t="s">
        <v>18</v>
      </c>
    </row>
    <row r="706" spans="1:11">
      <c r="A706" t="s">
        <v>947</v>
      </c>
      <c r="B706" t="s">
        <v>613</v>
      </c>
      <c r="C706" t="s">
        <v>101</v>
      </c>
      <c r="D706" t="s">
        <v>81</v>
      </c>
      <c r="E706">
        <v>499</v>
      </c>
      <c r="F706">
        <v>5</v>
      </c>
      <c r="G706">
        <v>2495</v>
      </c>
      <c r="H706" t="s">
        <v>71</v>
      </c>
      <c r="I706" t="s">
        <v>24</v>
      </c>
      <c r="J706" t="s">
        <v>38</v>
      </c>
      <c r="K706" t="s">
        <v>18</v>
      </c>
    </row>
    <row r="707" spans="1:11">
      <c r="A707" t="s">
        <v>948</v>
      </c>
      <c r="B707" t="s">
        <v>221</v>
      </c>
      <c r="C707" t="s">
        <v>101</v>
      </c>
      <c r="D707" t="s">
        <v>81</v>
      </c>
      <c r="E707">
        <v>499</v>
      </c>
      <c r="F707">
        <v>2</v>
      </c>
      <c r="G707">
        <v>998</v>
      </c>
      <c r="H707" t="s">
        <v>43</v>
      </c>
      <c r="I707" t="s">
        <v>67</v>
      </c>
      <c r="J707" t="s">
        <v>90</v>
      </c>
      <c r="K707" t="s">
        <v>18</v>
      </c>
    </row>
    <row r="708" spans="1:11">
      <c r="A708" t="s">
        <v>949</v>
      </c>
      <c r="B708" t="s">
        <v>234</v>
      </c>
      <c r="C708" t="s">
        <v>135</v>
      </c>
      <c r="D708" t="s">
        <v>29</v>
      </c>
      <c r="E708">
        <v>3999</v>
      </c>
      <c r="F708">
        <v>1</v>
      </c>
      <c r="G708">
        <v>3999</v>
      </c>
      <c r="H708" t="s">
        <v>30</v>
      </c>
      <c r="I708" t="s">
        <v>125</v>
      </c>
      <c r="J708" t="s">
        <v>17</v>
      </c>
      <c r="K708" t="s">
        <v>18</v>
      </c>
    </row>
    <row r="709" spans="1:11">
      <c r="A709" t="s">
        <v>950</v>
      </c>
      <c r="B709" t="s">
        <v>402</v>
      </c>
      <c r="C709" t="s">
        <v>13</v>
      </c>
      <c r="D709" t="s">
        <v>14</v>
      </c>
      <c r="E709">
        <v>2499</v>
      </c>
      <c r="F709">
        <v>4</v>
      </c>
      <c r="G709">
        <v>9996</v>
      </c>
      <c r="H709" t="s">
        <v>102</v>
      </c>
      <c r="I709" t="s">
        <v>24</v>
      </c>
      <c r="J709" t="s">
        <v>32</v>
      </c>
      <c r="K709" t="s">
        <v>33</v>
      </c>
    </row>
    <row r="710" spans="1:11">
      <c r="A710" t="s">
        <v>951</v>
      </c>
      <c r="B710" t="s">
        <v>20</v>
      </c>
      <c r="C710" t="s">
        <v>36</v>
      </c>
      <c r="D710" t="s">
        <v>29</v>
      </c>
      <c r="E710">
        <v>1999</v>
      </c>
      <c r="F710">
        <v>5</v>
      </c>
      <c r="G710">
        <v>9995</v>
      </c>
      <c r="H710" t="s">
        <v>157</v>
      </c>
      <c r="I710" t="s">
        <v>125</v>
      </c>
      <c r="J710" t="s">
        <v>38</v>
      </c>
      <c r="K710" t="s">
        <v>33</v>
      </c>
    </row>
    <row r="711" spans="1:11">
      <c r="A711" t="s">
        <v>952</v>
      </c>
      <c r="B711" t="s">
        <v>239</v>
      </c>
      <c r="C711" t="s">
        <v>21</v>
      </c>
      <c r="D711" t="s">
        <v>22</v>
      </c>
      <c r="E711">
        <v>1499</v>
      </c>
      <c r="F711">
        <v>2</v>
      </c>
      <c r="G711">
        <v>2998</v>
      </c>
      <c r="H711" t="s">
        <v>30</v>
      </c>
      <c r="I711" t="s">
        <v>63</v>
      </c>
      <c r="J711" t="s">
        <v>25</v>
      </c>
      <c r="K711" t="s">
        <v>18</v>
      </c>
    </row>
    <row r="712" spans="1:11">
      <c r="A712" t="s">
        <v>953</v>
      </c>
      <c r="B712" t="s">
        <v>237</v>
      </c>
      <c r="C712" t="s">
        <v>135</v>
      </c>
      <c r="D712" t="s">
        <v>29</v>
      </c>
      <c r="E712">
        <v>3999</v>
      </c>
      <c r="F712">
        <v>4</v>
      </c>
      <c r="G712">
        <v>15996</v>
      </c>
      <c r="H712" t="s">
        <v>102</v>
      </c>
      <c r="I712" t="s">
        <v>67</v>
      </c>
      <c r="J712" t="s">
        <v>25</v>
      </c>
      <c r="K712" t="s">
        <v>18</v>
      </c>
    </row>
    <row r="713" spans="1:11">
      <c r="A713" t="s">
        <v>954</v>
      </c>
      <c r="B713" t="s">
        <v>459</v>
      </c>
      <c r="C713" t="s">
        <v>13</v>
      </c>
      <c r="D713" t="s">
        <v>14</v>
      </c>
      <c r="E713">
        <v>2499</v>
      </c>
      <c r="F713">
        <v>4</v>
      </c>
      <c r="G713">
        <v>9996</v>
      </c>
      <c r="H713" t="s">
        <v>43</v>
      </c>
      <c r="I713" t="s">
        <v>98</v>
      </c>
      <c r="J713" t="s">
        <v>90</v>
      </c>
      <c r="K713" t="s">
        <v>18</v>
      </c>
    </row>
    <row r="714" spans="1:11">
      <c r="A714" t="s">
        <v>955</v>
      </c>
      <c r="B714" t="s">
        <v>137</v>
      </c>
      <c r="C714" t="s">
        <v>162</v>
      </c>
      <c r="D714" t="s">
        <v>29</v>
      </c>
      <c r="E714">
        <v>1799</v>
      </c>
      <c r="F714">
        <v>1</v>
      </c>
      <c r="G714">
        <v>1799</v>
      </c>
      <c r="H714" t="s">
        <v>89</v>
      </c>
      <c r="I714" t="s">
        <v>57</v>
      </c>
      <c r="J714" t="s">
        <v>17</v>
      </c>
      <c r="K714" t="s">
        <v>45</v>
      </c>
    </row>
    <row r="715" spans="1:11">
      <c r="A715" t="s">
        <v>956</v>
      </c>
      <c r="B715" t="s">
        <v>35</v>
      </c>
      <c r="C715" t="s">
        <v>135</v>
      </c>
      <c r="D715" t="s">
        <v>29</v>
      </c>
      <c r="E715">
        <v>3999</v>
      </c>
      <c r="F715">
        <v>5</v>
      </c>
      <c r="G715">
        <v>19995</v>
      </c>
      <c r="H715" t="s">
        <v>56</v>
      </c>
      <c r="I715" t="s">
        <v>77</v>
      </c>
      <c r="J715" t="s">
        <v>38</v>
      </c>
      <c r="K715" t="s">
        <v>45</v>
      </c>
    </row>
    <row r="716" spans="1:11">
      <c r="A716" t="s">
        <v>957</v>
      </c>
      <c r="B716" t="s">
        <v>207</v>
      </c>
      <c r="C716" t="s">
        <v>76</v>
      </c>
      <c r="D716" t="s">
        <v>49</v>
      </c>
      <c r="E716">
        <v>1599</v>
      </c>
      <c r="F716">
        <v>1</v>
      </c>
      <c r="G716">
        <v>1599</v>
      </c>
      <c r="H716" t="s">
        <v>23</v>
      </c>
      <c r="I716" t="s">
        <v>77</v>
      </c>
      <c r="J716" t="s">
        <v>17</v>
      </c>
      <c r="K716" t="s">
        <v>18</v>
      </c>
    </row>
    <row r="717" spans="1:11">
      <c r="A717" t="s">
        <v>958</v>
      </c>
      <c r="B717" t="s">
        <v>164</v>
      </c>
      <c r="C717" t="s">
        <v>70</v>
      </c>
      <c r="D717" t="s">
        <v>29</v>
      </c>
      <c r="E717">
        <v>799</v>
      </c>
      <c r="F717">
        <v>2</v>
      </c>
      <c r="G717">
        <v>1598</v>
      </c>
      <c r="H717" t="s">
        <v>62</v>
      </c>
      <c r="I717" t="s">
        <v>98</v>
      </c>
      <c r="J717" t="s">
        <v>38</v>
      </c>
      <c r="K717" t="s">
        <v>18</v>
      </c>
    </row>
    <row r="718" spans="1:11">
      <c r="A718" t="s">
        <v>959</v>
      </c>
      <c r="B718" t="s">
        <v>379</v>
      </c>
      <c r="C718" t="s">
        <v>13</v>
      </c>
      <c r="D718" t="s">
        <v>14</v>
      </c>
      <c r="E718">
        <v>2499</v>
      </c>
      <c r="F718">
        <v>2</v>
      </c>
      <c r="G718">
        <v>4998</v>
      </c>
      <c r="H718" t="s">
        <v>157</v>
      </c>
      <c r="I718" t="s">
        <v>77</v>
      </c>
      <c r="J718" t="s">
        <v>17</v>
      </c>
      <c r="K718" t="s">
        <v>18</v>
      </c>
    </row>
    <row r="719" spans="1:11">
      <c r="A719" t="s">
        <v>960</v>
      </c>
      <c r="B719" t="s">
        <v>20</v>
      </c>
      <c r="C719" t="s">
        <v>52</v>
      </c>
      <c r="D719" t="s">
        <v>53</v>
      </c>
      <c r="E719">
        <v>199</v>
      </c>
      <c r="F719">
        <v>5</v>
      </c>
      <c r="G719">
        <v>995</v>
      </c>
      <c r="H719" t="s">
        <v>71</v>
      </c>
      <c r="I719" t="s">
        <v>16</v>
      </c>
      <c r="J719" t="s">
        <v>38</v>
      </c>
      <c r="K719" t="s">
        <v>18</v>
      </c>
    </row>
    <row r="720" spans="1:11">
      <c r="A720" t="s">
        <v>961</v>
      </c>
      <c r="B720" t="s">
        <v>59</v>
      </c>
      <c r="C720" t="s">
        <v>21</v>
      </c>
      <c r="D720" t="s">
        <v>22</v>
      </c>
      <c r="E720">
        <v>1499</v>
      </c>
      <c r="F720">
        <v>1</v>
      </c>
      <c r="G720">
        <v>1499</v>
      </c>
      <c r="H720" t="s">
        <v>30</v>
      </c>
      <c r="I720" t="s">
        <v>125</v>
      </c>
      <c r="J720" t="s">
        <v>90</v>
      </c>
      <c r="K720" t="s">
        <v>18</v>
      </c>
    </row>
    <row r="721" spans="1:11">
      <c r="A721" t="s">
        <v>962</v>
      </c>
      <c r="B721" t="s">
        <v>431</v>
      </c>
      <c r="C721" t="s">
        <v>60</v>
      </c>
      <c r="D721" t="s">
        <v>61</v>
      </c>
      <c r="E721">
        <v>899</v>
      </c>
      <c r="F721">
        <v>4</v>
      </c>
      <c r="G721">
        <v>3596</v>
      </c>
      <c r="H721" t="s">
        <v>43</v>
      </c>
      <c r="I721" t="s">
        <v>31</v>
      </c>
      <c r="J721" t="s">
        <v>25</v>
      </c>
      <c r="K721" t="s">
        <v>33</v>
      </c>
    </row>
    <row r="722" spans="1:11">
      <c r="A722" t="s">
        <v>963</v>
      </c>
      <c r="B722" t="s">
        <v>373</v>
      </c>
      <c r="C722" t="s">
        <v>21</v>
      </c>
      <c r="D722" t="s">
        <v>22</v>
      </c>
      <c r="E722">
        <v>1499</v>
      </c>
      <c r="F722">
        <v>1</v>
      </c>
      <c r="G722">
        <v>1499</v>
      </c>
      <c r="H722" t="s">
        <v>95</v>
      </c>
      <c r="I722" t="s">
        <v>44</v>
      </c>
      <c r="J722" t="s">
        <v>17</v>
      </c>
      <c r="K722" t="s">
        <v>18</v>
      </c>
    </row>
    <row r="723" spans="1:11">
      <c r="A723" t="s">
        <v>964</v>
      </c>
      <c r="B723" t="s">
        <v>92</v>
      </c>
      <c r="C723" t="s">
        <v>80</v>
      </c>
      <c r="D723" t="s">
        <v>81</v>
      </c>
      <c r="E723">
        <v>299</v>
      </c>
      <c r="F723">
        <v>5</v>
      </c>
      <c r="G723">
        <v>1495</v>
      </c>
      <c r="H723" t="s">
        <v>157</v>
      </c>
      <c r="I723" t="s">
        <v>63</v>
      </c>
      <c r="J723" t="s">
        <v>90</v>
      </c>
      <c r="K723" t="s">
        <v>18</v>
      </c>
    </row>
    <row r="724" spans="1:11">
      <c r="A724" t="s">
        <v>965</v>
      </c>
      <c r="B724" t="s">
        <v>402</v>
      </c>
      <c r="C724" t="s">
        <v>48</v>
      </c>
      <c r="D724" t="s">
        <v>49</v>
      </c>
      <c r="E724">
        <v>699</v>
      </c>
      <c r="F724">
        <v>4</v>
      </c>
      <c r="G724">
        <v>2796</v>
      </c>
      <c r="H724" t="s">
        <v>62</v>
      </c>
      <c r="I724" t="s">
        <v>44</v>
      </c>
      <c r="J724" t="s">
        <v>25</v>
      </c>
      <c r="K724" t="s">
        <v>33</v>
      </c>
    </row>
    <row r="725" spans="1:11">
      <c r="A725" t="s">
        <v>966</v>
      </c>
      <c r="B725" t="s">
        <v>150</v>
      </c>
      <c r="C725" t="s">
        <v>87</v>
      </c>
      <c r="D725" t="s">
        <v>88</v>
      </c>
      <c r="E725">
        <v>5499</v>
      </c>
      <c r="F725">
        <v>5</v>
      </c>
      <c r="G725">
        <v>27495</v>
      </c>
      <c r="H725" t="s">
        <v>89</v>
      </c>
      <c r="I725" t="s">
        <v>67</v>
      </c>
      <c r="J725" t="s">
        <v>17</v>
      </c>
      <c r="K725" t="s">
        <v>45</v>
      </c>
    </row>
    <row r="726" spans="1:11">
      <c r="A726" t="s">
        <v>967</v>
      </c>
      <c r="B726" t="s">
        <v>69</v>
      </c>
      <c r="C726" t="s">
        <v>36</v>
      </c>
      <c r="D726" t="s">
        <v>29</v>
      </c>
      <c r="E726">
        <v>1999</v>
      </c>
      <c r="F726">
        <v>3</v>
      </c>
      <c r="G726">
        <v>5997</v>
      </c>
      <c r="H726" t="s">
        <v>37</v>
      </c>
      <c r="I726" t="s">
        <v>67</v>
      </c>
      <c r="J726" t="s">
        <v>25</v>
      </c>
      <c r="K726" t="s">
        <v>18</v>
      </c>
    </row>
    <row r="727" spans="1:11">
      <c r="A727" t="s">
        <v>968</v>
      </c>
      <c r="B727" t="s">
        <v>293</v>
      </c>
      <c r="C727" t="s">
        <v>122</v>
      </c>
      <c r="D727" t="s">
        <v>29</v>
      </c>
      <c r="E727">
        <v>1299</v>
      </c>
      <c r="F727">
        <v>2</v>
      </c>
      <c r="G727">
        <v>2598</v>
      </c>
      <c r="H727" t="s">
        <v>89</v>
      </c>
      <c r="I727" t="s">
        <v>44</v>
      </c>
      <c r="J727" t="s">
        <v>32</v>
      </c>
      <c r="K727" t="s">
        <v>18</v>
      </c>
    </row>
    <row r="728" spans="1:11">
      <c r="A728" t="s">
        <v>969</v>
      </c>
      <c r="B728" t="s">
        <v>387</v>
      </c>
      <c r="C728" t="s">
        <v>87</v>
      </c>
      <c r="D728" t="s">
        <v>88</v>
      </c>
      <c r="E728">
        <v>5499</v>
      </c>
      <c r="F728">
        <v>3</v>
      </c>
      <c r="G728">
        <v>16497</v>
      </c>
      <c r="H728" t="s">
        <v>23</v>
      </c>
      <c r="I728" t="s">
        <v>44</v>
      </c>
      <c r="J728" t="s">
        <v>90</v>
      </c>
      <c r="K728" t="s">
        <v>18</v>
      </c>
    </row>
    <row r="729" spans="1:11">
      <c r="A729" t="s">
        <v>970</v>
      </c>
      <c r="B729" t="s">
        <v>224</v>
      </c>
      <c r="C729" t="s">
        <v>135</v>
      </c>
      <c r="D729" t="s">
        <v>29</v>
      </c>
      <c r="E729">
        <v>3999</v>
      </c>
      <c r="F729">
        <v>5</v>
      </c>
      <c r="G729">
        <v>19995</v>
      </c>
      <c r="H729" t="s">
        <v>30</v>
      </c>
      <c r="I729" t="s">
        <v>125</v>
      </c>
      <c r="J729" t="s">
        <v>25</v>
      </c>
      <c r="K729" t="s">
        <v>18</v>
      </c>
    </row>
    <row r="730" spans="1:11">
      <c r="A730" t="s">
        <v>971</v>
      </c>
      <c r="B730" t="s">
        <v>354</v>
      </c>
      <c r="C730" t="s">
        <v>48</v>
      </c>
      <c r="D730" t="s">
        <v>49</v>
      </c>
      <c r="E730">
        <v>699</v>
      </c>
      <c r="F730">
        <v>1</v>
      </c>
      <c r="G730">
        <v>699</v>
      </c>
      <c r="H730" t="s">
        <v>95</v>
      </c>
      <c r="I730" t="s">
        <v>24</v>
      </c>
      <c r="J730" t="s">
        <v>90</v>
      </c>
      <c r="K730" t="s">
        <v>18</v>
      </c>
    </row>
    <row r="731" spans="1:11">
      <c r="A731" t="s">
        <v>972</v>
      </c>
      <c r="B731" t="s">
        <v>321</v>
      </c>
      <c r="C731" t="s">
        <v>28</v>
      </c>
      <c r="D731" t="s">
        <v>29</v>
      </c>
      <c r="E731">
        <v>1299</v>
      </c>
      <c r="F731">
        <v>1</v>
      </c>
      <c r="G731">
        <v>1299</v>
      </c>
      <c r="H731" t="s">
        <v>30</v>
      </c>
      <c r="I731" t="s">
        <v>77</v>
      </c>
      <c r="J731" t="s">
        <v>17</v>
      </c>
      <c r="K731" t="s">
        <v>18</v>
      </c>
    </row>
    <row r="732" spans="1:11">
      <c r="A732" t="s">
        <v>973</v>
      </c>
      <c r="B732" t="s">
        <v>215</v>
      </c>
      <c r="C732" t="s">
        <v>60</v>
      </c>
      <c r="D732" t="s">
        <v>61</v>
      </c>
      <c r="E732">
        <v>899</v>
      </c>
      <c r="F732">
        <v>3</v>
      </c>
      <c r="G732">
        <v>2697</v>
      </c>
      <c r="H732" t="s">
        <v>157</v>
      </c>
      <c r="I732" t="s">
        <v>31</v>
      </c>
      <c r="J732" t="s">
        <v>38</v>
      </c>
      <c r="K732" t="s">
        <v>45</v>
      </c>
    </row>
    <row r="733" spans="1:11">
      <c r="A733" t="s">
        <v>974</v>
      </c>
      <c r="B733" t="s">
        <v>561</v>
      </c>
      <c r="C733" t="s">
        <v>21</v>
      </c>
      <c r="D733" t="s">
        <v>22</v>
      </c>
      <c r="E733">
        <v>1499</v>
      </c>
      <c r="F733">
        <v>3</v>
      </c>
      <c r="G733">
        <v>4497</v>
      </c>
      <c r="H733" t="s">
        <v>37</v>
      </c>
      <c r="I733" t="s">
        <v>77</v>
      </c>
      <c r="J733" t="s">
        <v>32</v>
      </c>
      <c r="K733" t="s">
        <v>33</v>
      </c>
    </row>
    <row r="734" spans="1:11">
      <c r="A734" t="s">
        <v>975</v>
      </c>
      <c r="B734" t="s">
        <v>196</v>
      </c>
      <c r="C734" t="s">
        <v>70</v>
      </c>
      <c r="D734" t="s">
        <v>29</v>
      </c>
      <c r="E734">
        <v>799</v>
      </c>
      <c r="F734">
        <v>5</v>
      </c>
      <c r="G734">
        <v>3995</v>
      </c>
      <c r="H734" t="s">
        <v>43</v>
      </c>
      <c r="I734" t="s">
        <v>44</v>
      </c>
      <c r="J734" t="s">
        <v>17</v>
      </c>
      <c r="K734" t="s">
        <v>18</v>
      </c>
    </row>
    <row r="735" spans="1:11">
      <c r="A735" t="s">
        <v>976</v>
      </c>
      <c r="B735" t="s">
        <v>113</v>
      </c>
      <c r="C735" t="s">
        <v>48</v>
      </c>
      <c r="D735" t="s">
        <v>49</v>
      </c>
      <c r="E735">
        <v>699</v>
      </c>
      <c r="F735">
        <v>3</v>
      </c>
      <c r="G735">
        <v>2097</v>
      </c>
      <c r="H735" t="s">
        <v>95</v>
      </c>
      <c r="I735" t="s">
        <v>63</v>
      </c>
      <c r="J735" t="s">
        <v>38</v>
      </c>
      <c r="K735" t="s">
        <v>33</v>
      </c>
    </row>
    <row r="736" spans="1:11">
      <c r="A736" t="s">
        <v>977</v>
      </c>
      <c r="B736" t="s">
        <v>295</v>
      </c>
      <c r="C736" t="s">
        <v>101</v>
      </c>
      <c r="D736" t="s">
        <v>81</v>
      </c>
      <c r="E736">
        <v>499</v>
      </c>
      <c r="F736">
        <v>1</v>
      </c>
      <c r="G736">
        <v>499</v>
      </c>
      <c r="H736" t="s">
        <v>119</v>
      </c>
      <c r="I736" t="s">
        <v>57</v>
      </c>
      <c r="J736" t="s">
        <v>38</v>
      </c>
      <c r="K736" t="s">
        <v>18</v>
      </c>
    </row>
    <row r="737" spans="1:11">
      <c r="A737" t="s">
        <v>978</v>
      </c>
      <c r="B737" t="s">
        <v>143</v>
      </c>
      <c r="C737" t="s">
        <v>48</v>
      </c>
      <c r="D737" t="s">
        <v>49</v>
      </c>
      <c r="E737">
        <v>699</v>
      </c>
      <c r="F737">
        <v>3</v>
      </c>
      <c r="G737">
        <v>2097</v>
      </c>
      <c r="H737" t="s">
        <v>62</v>
      </c>
      <c r="I737" t="s">
        <v>63</v>
      </c>
      <c r="J737" t="s">
        <v>25</v>
      </c>
      <c r="K737" t="s">
        <v>18</v>
      </c>
    </row>
    <row r="738" spans="1:11">
      <c r="A738" t="s">
        <v>979</v>
      </c>
      <c r="B738" t="s">
        <v>255</v>
      </c>
      <c r="C738" t="s">
        <v>36</v>
      </c>
      <c r="D738" t="s">
        <v>29</v>
      </c>
      <c r="E738">
        <v>1999</v>
      </c>
      <c r="F738">
        <v>5</v>
      </c>
      <c r="G738">
        <v>9995</v>
      </c>
      <c r="H738" t="s">
        <v>89</v>
      </c>
      <c r="I738" t="s">
        <v>24</v>
      </c>
      <c r="J738" t="s">
        <v>25</v>
      </c>
      <c r="K738" t="s">
        <v>45</v>
      </c>
    </row>
    <row r="739" spans="1:11">
      <c r="A739" t="s">
        <v>980</v>
      </c>
      <c r="B739" t="s">
        <v>598</v>
      </c>
      <c r="C739" t="s">
        <v>122</v>
      </c>
      <c r="D739" t="s">
        <v>29</v>
      </c>
      <c r="E739">
        <v>1299</v>
      </c>
      <c r="F739">
        <v>5</v>
      </c>
      <c r="G739">
        <v>6495</v>
      </c>
      <c r="H739" t="s">
        <v>30</v>
      </c>
      <c r="I739" t="s">
        <v>125</v>
      </c>
      <c r="J739" t="s">
        <v>32</v>
      </c>
      <c r="K739" t="s">
        <v>18</v>
      </c>
    </row>
    <row r="740" spans="1:11">
      <c r="A740" t="s">
        <v>981</v>
      </c>
      <c r="B740" t="s">
        <v>748</v>
      </c>
      <c r="C740" t="s">
        <v>162</v>
      </c>
      <c r="D740" t="s">
        <v>29</v>
      </c>
      <c r="E740">
        <v>1799</v>
      </c>
      <c r="F740">
        <v>3</v>
      </c>
      <c r="G740">
        <v>5397</v>
      </c>
      <c r="H740" t="s">
        <v>102</v>
      </c>
      <c r="I740" t="s">
        <v>16</v>
      </c>
      <c r="J740" t="s">
        <v>38</v>
      </c>
      <c r="K740" t="s">
        <v>45</v>
      </c>
    </row>
    <row r="741" spans="1:11">
      <c r="A741" t="s">
        <v>982</v>
      </c>
      <c r="B741" t="s">
        <v>379</v>
      </c>
      <c r="C741" t="s">
        <v>162</v>
      </c>
      <c r="D741" t="s">
        <v>29</v>
      </c>
      <c r="E741">
        <v>1799</v>
      </c>
      <c r="F741">
        <v>3</v>
      </c>
      <c r="G741">
        <v>5397</v>
      </c>
      <c r="H741" t="s">
        <v>157</v>
      </c>
      <c r="I741" t="s">
        <v>105</v>
      </c>
      <c r="J741" t="s">
        <v>90</v>
      </c>
      <c r="K741" t="s">
        <v>18</v>
      </c>
    </row>
    <row r="742" spans="1:11">
      <c r="A742" t="s">
        <v>983</v>
      </c>
      <c r="B742" t="s">
        <v>143</v>
      </c>
      <c r="C742" t="s">
        <v>76</v>
      </c>
      <c r="D742" t="s">
        <v>49</v>
      </c>
      <c r="E742">
        <v>1599</v>
      </c>
      <c r="F742">
        <v>2</v>
      </c>
      <c r="G742">
        <v>3198</v>
      </c>
      <c r="H742" t="s">
        <v>66</v>
      </c>
      <c r="I742" t="s">
        <v>16</v>
      </c>
      <c r="J742" t="s">
        <v>32</v>
      </c>
      <c r="K742" t="s">
        <v>18</v>
      </c>
    </row>
    <row r="743" spans="1:11">
      <c r="A743" t="s">
        <v>984</v>
      </c>
      <c r="B743" t="s">
        <v>219</v>
      </c>
      <c r="C743" t="s">
        <v>36</v>
      </c>
      <c r="D743" t="s">
        <v>29</v>
      </c>
      <c r="E743">
        <v>1999</v>
      </c>
      <c r="F743">
        <v>2</v>
      </c>
      <c r="G743">
        <v>3998</v>
      </c>
      <c r="H743" t="s">
        <v>30</v>
      </c>
      <c r="I743" t="s">
        <v>67</v>
      </c>
      <c r="J743" t="s">
        <v>17</v>
      </c>
      <c r="K743" t="s">
        <v>33</v>
      </c>
    </row>
    <row r="744" spans="1:11">
      <c r="A744" t="s">
        <v>985</v>
      </c>
      <c r="B744" t="s">
        <v>179</v>
      </c>
      <c r="C744" t="s">
        <v>21</v>
      </c>
      <c r="D744" t="s">
        <v>22</v>
      </c>
      <c r="E744">
        <v>1499</v>
      </c>
      <c r="F744">
        <v>3</v>
      </c>
      <c r="G744">
        <v>4497</v>
      </c>
      <c r="H744" t="s">
        <v>89</v>
      </c>
      <c r="I744" t="s">
        <v>16</v>
      </c>
      <c r="J744" t="s">
        <v>17</v>
      </c>
      <c r="K744" t="s">
        <v>33</v>
      </c>
    </row>
    <row r="745" spans="1:11">
      <c r="A745" t="s">
        <v>986</v>
      </c>
      <c r="B745" t="s">
        <v>267</v>
      </c>
      <c r="C745" t="s">
        <v>80</v>
      </c>
      <c r="D745" t="s">
        <v>81</v>
      </c>
      <c r="E745">
        <v>299</v>
      </c>
      <c r="F745">
        <v>3</v>
      </c>
      <c r="G745">
        <v>897</v>
      </c>
      <c r="H745" t="s">
        <v>95</v>
      </c>
      <c r="I745" t="s">
        <v>125</v>
      </c>
      <c r="J745" t="s">
        <v>32</v>
      </c>
      <c r="K745" t="s">
        <v>18</v>
      </c>
    </row>
    <row r="746" spans="1:11">
      <c r="A746" t="s">
        <v>987</v>
      </c>
      <c r="B746" t="s">
        <v>381</v>
      </c>
      <c r="C746" t="s">
        <v>36</v>
      </c>
      <c r="D746" t="s">
        <v>29</v>
      </c>
      <c r="E746">
        <v>1999</v>
      </c>
      <c r="F746">
        <v>2</v>
      </c>
      <c r="G746">
        <v>3998</v>
      </c>
      <c r="H746" t="s">
        <v>157</v>
      </c>
      <c r="I746" t="s">
        <v>125</v>
      </c>
      <c r="J746" t="s">
        <v>17</v>
      </c>
      <c r="K746" t="s">
        <v>18</v>
      </c>
    </row>
    <row r="747" spans="1:11">
      <c r="A747" t="s">
        <v>988</v>
      </c>
      <c r="B747" t="s">
        <v>12</v>
      </c>
      <c r="C747" t="s">
        <v>76</v>
      </c>
      <c r="D747" t="s">
        <v>49</v>
      </c>
      <c r="E747">
        <v>1599</v>
      </c>
      <c r="F747">
        <v>4</v>
      </c>
      <c r="G747">
        <v>6396</v>
      </c>
      <c r="H747" t="s">
        <v>37</v>
      </c>
      <c r="I747" t="s">
        <v>67</v>
      </c>
      <c r="J747" t="s">
        <v>25</v>
      </c>
      <c r="K747" t="s">
        <v>18</v>
      </c>
    </row>
    <row r="748" spans="1:11">
      <c r="A748" t="s">
        <v>989</v>
      </c>
      <c r="B748" t="s">
        <v>55</v>
      </c>
      <c r="C748" t="s">
        <v>52</v>
      </c>
      <c r="D748" t="s">
        <v>53</v>
      </c>
      <c r="E748">
        <v>199</v>
      </c>
      <c r="F748">
        <v>2</v>
      </c>
      <c r="G748">
        <v>398</v>
      </c>
      <c r="H748" t="s">
        <v>102</v>
      </c>
      <c r="I748" t="s">
        <v>31</v>
      </c>
      <c r="J748" t="s">
        <v>17</v>
      </c>
      <c r="K748" t="s">
        <v>18</v>
      </c>
    </row>
    <row r="749" spans="1:11">
      <c r="A749" t="s">
        <v>990</v>
      </c>
      <c r="B749" t="s">
        <v>415</v>
      </c>
      <c r="C749" t="s">
        <v>13</v>
      </c>
      <c r="D749" t="s">
        <v>14</v>
      </c>
      <c r="E749">
        <v>2499</v>
      </c>
      <c r="F749">
        <v>3</v>
      </c>
      <c r="G749">
        <v>7497</v>
      </c>
      <c r="H749" t="s">
        <v>71</v>
      </c>
      <c r="I749" t="s">
        <v>57</v>
      </c>
      <c r="J749" t="s">
        <v>90</v>
      </c>
      <c r="K749" t="s">
        <v>18</v>
      </c>
    </row>
    <row r="750" spans="1:11">
      <c r="A750" t="s">
        <v>991</v>
      </c>
      <c r="B750" t="s">
        <v>291</v>
      </c>
      <c r="C750" t="s">
        <v>21</v>
      </c>
      <c r="D750" t="s">
        <v>22</v>
      </c>
      <c r="E750">
        <v>1499</v>
      </c>
      <c r="F750">
        <v>2</v>
      </c>
      <c r="G750">
        <v>2998</v>
      </c>
      <c r="H750" t="s">
        <v>62</v>
      </c>
      <c r="I750" t="s">
        <v>63</v>
      </c>
      <c r="J750" t="s">
        <v>17</v>
      </c>
      <c r="K750" t="s">
        <v>33</v>
      </c>
    </row>
    <row r="751" spans="1:11">
      <c r="A751" t="s">
        <v>992</v>
      </c>
      <c r="B751" t="s">
        <v>472</v>
      </c>
      <c r="C751" t="s">
        <v>80</v>
      </c>
      <c r="D751" t="s">
        <v>81</v>
      </c>
      <c r="E751">
        <v>299</v>
      </c>
      <c r="F751">
        <v>4</v>
      </c>
      <c r="G751">
        <v>1196</v>
      </c>
      <c r="H751" t="s">
        <v>56</v>
      </c>
      <c r="I751" t="s">
        <v>77</v>
      </c>
      <c r="J751" t="s">
        <v>38</v>
      </c>
      <c r="K751" t="s">
        <v>18</v>
      </c>
    </row>
    <row r="752" spans="1:11">
      <c r="A752" t="s">
        <v>993</v>
      </c>
      <c r="B752" t="s">
        <v>111</v>
      </c>
      <c r="C752" t="s">
        <v>21</v>
      </c>
      <c r="D752" t="s">
        <v>22</v>
      </c>
      <c r="E752">
        <v>1499</v>
      </c>
      <c r="F752">
        <v>2</v>
      </c>
      <c r="G752">
        <v>2998</v>
      </c>
      <c r="H752" t="s">
        <v>71</v>
      </c>
      <c r="I752" t="s">
        <v>24</v>
      </c>
      <c r="J752" t="s">
        <v>38</v>
      </c>
      <c r="K752" t="s">
        <v>18</v>
      </c>
    </row>
    <row r="753" spans="1:11">
      <c r="A753" t="s">
        <v>994</v>
      </c>
      <c r="B753" t="s">
        <v>272</v>
      </c>
      <c r="C753" t="s">
        <v>122</v>
      </c>
      <c r="D753" t="s">
        <v>29</v>
      </c>
      <c r="E753">
        <v>1299</v>
      </c>
      <c r="F753">
        <v>4</v>
      </c>
      <c r="G753">
        <v>5196</v>
      </c>
      <c r="H753" t="s">
        <v>157</v>
      </c>
      <c r="I753" t="s">
        <v>24</v>
      </c>
      <c r="J753" t="s">
        <v>90</v>
      </c>
      <c r="K753" t="s">
        <v>33</v>
      </c>
    </row>
    <row r="754" spans="1:11">
      <c r="A754" t="s">
        <v>995</v>
      </c>
      <c r="B754" t="s">
        <v>177</v>
      </c>
      <c r="C754" t="s">
        <v>101</v>
      </c>
      <c r="D754" t="s">
        <v>81</v>
      </c>
      <c r="E754">
        <v>499</v>
      </c>
      <c r="F754">
        <v>3</v>
      </c>
      <c r="G754">
        <v>1497</v>
      </c>
      <c r="H754" t="s">
        <v>62</v>
      </c>
      <c r="I754" t="s">
        <v>31</v>
      </c>
      <c r="J754" t="s">
        <v>38</v>
      </c>
      <c r="K754" t="s">
        <v>33</v>
      </c>
    </row>
    <row r="755" spans="1:11">
      <c r="A755" t="s">
        <v>996</v>
      </c>
      <c r="B755" t="s">
        <v>198</v>
      </c>
      <c r="C755" t="s">
        <v>70</v>
      </c>
      <c r="D755" t="s">
        <v>29</v>
      </c>
      <c r="E755">
        <v>799</v>
      </c>
      <c r="F755">
        <v>2</v>
      </c>
      <c r="G755">
        <v>1598</v>
      </c>
      <c r="H755" t="s">
        <v>89</v>
      </c>
      <c r="I755" t="s">
        <v>57</v>
      </c>
      <c r="J755" t="s">
        <v>90</v>
      </c>
      <c r="K755" t="s">
        <v>18</v>
      </c>
    </row>
    <row r="756" spans="1:11">
      <c r="A756" t="s">
        <v>997</v>
      </c>
      <c r="B756" t="s">
        <v>243</v>
      </c>
      <c r="C756" t="s">
        <v>48</v>
      </c>
      <c r="D756" t="s">
        <v>49</v>
      </c>
      <c r="E756">
        <v>699</v>
      </c>
      <c r="F756">
        <v>2</v>
      </c>
      <c r="G756">
        <v>1398</v>
      </c>
      <c r="H756" t="s">
        <v>71</v>
      </c>
      <c r="I756" t="s">
        <v>24</v>
      </c>
      <c r="J756" t="s">
        <v>90</v>
      </c>
      <c r="K756" t="s">
        <v>18</v>
      </c>
    </row>
    <row r="757" spans="1:11">
      <c r="A757" t="s">
        <v>998</v>
      </c>
      <c r="B757" t="s">
        <v>281</v>
      </c>
      <c r="C757" t="s">
        <v>70</v>
      </c>
      <c r="D757" t="s">
        <v>29</v>
      </c>
      <c r="E757">
        <v>799</v>
      </c>
      <c r="F757">
        <v>5</v>
      </c>
      <c r="G757">
        <v>3995</v>
      </c>
      <c r="H757" t="s">
        <v>37</v>
      </c>
      <c r="I757" t="s">
        <v>105</v>
      </c>
      <c r="J757" t="s">
        <v>17</v>
      </c>
      <c r="K757" t="s">
        <v>18</v>
      </c>
    </row>
    <row r="758" spans="1:11">
      <c r="A758" t="s">
        <v>999</v>
      </c>
      <c r="B758" t="s">
        <v>137</v>
      </c>
      <c r="C758" t="s">
        <v>80</v>
      </c>
      <c r="D758" t="s">
        <v>81</v>
      </c>
      <c r="E758">
        <v>299</v>
      </c>
      <c r="F758">
        <v>3</v>
      </c>
      <c r="G758">
        <v>897</v>
      </c>
      <c r="H758" t="s">
        <v>95</v>
      </c>
      <c r="I758" t="s">
        <v>98</v>
      </c>
      <c r="J758" t="s">
        <v>90</v>
      </c>
      <c r="K758" t="s">
        <v>18</v>
      </c>
    </row>
    <row r="759" spans="1:11">
      <c r="A759" t="s">
        <v>1000</v>
      </c>
      <c r="B759" t="s">
        <v>159</v>
      </c>
      <c r="C759" t="s">
        <v>48</v>
      </c>
      <c r="D759" t="s">
        <v>49</v>
      </c>
      <c r="E759">
        <v>699</v>
      </c>
      <c r="F759">
        <v>3</v>
      </c>
      <c r="G759">
        <v>2097</v>
      </c>
      <c r="H759" t="s">
        <v>157</v>
      </c>
      <c r="I759" t="s">
        <v>44</v>
      </c>
      <c r="J759" t="s">
        <v>25</v>
      </c>
      <c r="K759" t="s">
        <v>45</v>
      </c>
    </row>
    <row r="760" spans="1:11">
      <c r="A760" t="s">
        <v>1001</v>
      </c>
      <c r="B760" t="s">
        <v>257</v>
      </c>
      <c r="C760" t="s">
        <v>52</v>
      </c>
      <c r="D760" t="s">
        <v>53</v>
      </c>
      <c r="E760">
        <v>199</v>
      </c>
      <c r="F760">
        <v>2</v>
      </c>
      <c r="G760">
        <v>398</v>
      </c>
      <c r="H760" t="s">
        <v>157</v>
      </c>
      <c r="I760" t="s">
        <v>24</v>
      </c>
      <c r="J760" t="s">
        <v>32</v>
      </c>
      <c r="K760" t="s">
        <v>18</v>
      </c>
    </row>
    <row r="761" spans="1:11">
      <c r="A761" t="s">
        <v>1002</v>
      </c>
      <c r="B761" t="s">
        <v>65</v>
      </c>
      <c r="C761" t="s">
        <v>87</v>
      </c>
      <c r="D761" t="s">
        <v>88</v>
      </c>
      <c r="E761">
        <v>5499</v>
      </c>
      <c r="F761">
        <v>4</v>
      </c>
      <c r="G761">
        <v>21996</v>
      </c>
      <c r="H761" t="s">
        <v>30</v>
      </c>
      <c r="I761" t="s">
        <v>31</v>
      </c>
      <c r="J761" t="s">
        <v>17</v>
      </c>
      <c r="K761" t="s">
        <v>18</v>
      </c>
    </row>
    <row r="762" spans="1:11">
      <c r="A762" t="s">
        <v>1003</v>
      </c>
      <c r="B762" t="s">
        <v>512</v>
      </c>
      <c r="C762" t="s">
        <v>52</v>
      </c>
      <c r="D762" t="s">
        <v>53</v>
      </c>
      <c r="E762">
        <v>199</v>
      </c>
      <c r="F762">
        <v>1</v>
      </c>
      <c r="G762">
        <v>199</v>
      </c>
      <c r="H762" t="s">
        <v>186</v>
      </c>
      <c r="I762" t="s">
        <v>125</v>
      </c>
      <c r="J762" t="s">
        <v>90</v>
      </c>
      <c r="K762" t="s">
        <v>33</v>
      </c>
    </row>
    <row r="763" spans="1:11">
      <c r="A763" t="s">
        <v>1004</v>
      </c>
      <c r="B763" t="s">
        <v>494</v>
      </c>
      <c r="C763" t="s">
        <v>101</v>
      </c>
      <c r="D763" t="s">
        <v>81</v>
      </c>
      <c r="E763">
        <v>499</v>
      </c>
      <c r="F763">
        <v>4</v>
      </c>
      <c r="G763">
        <v>1996</v>
      </c>
      <c r="H763" t="s">
        <v>30</v>
      </c>
      <c r="I763" t="s">
        <v>44</v>
      </c>
      <c r="J763" t="s">
        <v>17</v>
      </c>
      <c r="K763" t="s">
        <v>18</v>
      </c>
    </row>
    <row r="764" spans="1:11">
      <c r="A764" t="s">
        <v>1005</v>
      </c>
      <c r="B764" t="s">
        <v>630</v>
      </c>
      <c r="C764" t="s">
        <v>76</v>
      </c>
      <c r="D764" t="s">
        <v>49</v>
      </c>
      <c r="E764">
        <v>1599</v>
      </c>
      <c r="F764">
        <v>1</v>
      </c>
      <c r="G764">
        <v>1599</v>
      </c>
      <c r="H764" t="s">
        <v>56</v>
      </c>
      <c r="I764" t="s">
        <v>31</v>
      </c>
      <c r="J764" t="s">
        <v>25</v>
      </c>
      <c r="K764" t="s">
        <v>18</v>
      </c>
    </row>
    <row r="765" spans="1:11">
      <c r="A765" t="s">
        <v>1006</v>
      </c>
      <c r="B765" t="s">
        <v>173</v>
      </c>
      <c r="C765" t="s">
        <v>76</v>
      </c>
      <c r="D765" t="s">
        <v>49</v>
      </c>
      <c r="E765">
        <v>1599</v>
      </c>
      <c r="F765">
        <v>1</v>
      </c>
      <c r="G765">
        <v>1599</v>
      </c>
      <c r="H765" t="s">
        <v>43</v>
      </c>
      <c r="I765" t="s">
        <v>67</v>
      </c>
      <c r="J765" t="s">
        <v>32</v>
      </c>
      <c r="K765" t="s">
        <v>33</v>
      </c>
    </row>
    <row r="766" spans="1:11">
      <c r="A766" t="s">
        <v>1007</v>
      </c>
      <c r="B766" t="s">
        <v>250</v>
      </c>
      <c r="C766" t="s">
        <v>21</v>
      </c>
      <c r="D766" t="s">
        <v>22</v>
      </c>
      <c r="E766">
        <v>1499</v>
      </c>
      <c r="F766">
        <v>4</v>
      </c>
      <c r="G766">
        <v>5996</v>
      </c>
      <c r="H766" t="s">
        <v>56</v>
      </c>
      <c r="I766" t="s">
        <v>67</v>
      </c>
      <c r="J766" t="s">
        <v>25</v>
      </c>
      <c r="K766" t="s">
        <v>18</v>
      </c>
    </row>
    <row r="767" spans="1:11">
      <c r="A767" t="s">
        <v>1008</v>
      </c>
      <c r="B767" t="s">
        <v>42</v>
      </c>
      <c r="C767" t="s">
        <v>80</v>
      </c>
      <c r="D767" t="s">
        <v>81</v>
      </c>
      <c r="E767">
        <v>299</v>
      </c>
      <c r="F767">
        <v>4</v>
      </c>
      <c r="G767">
        <v>1196</v>
      </c>
      <c r="H767" t="s">
        <v>23</v>
      </c>
      <c r="I767" t="s">
        <v>67</v>
      </c>
      <c r="J767" t="s">
        <v>17</v>
      </c>
      <c r="K767" t="s">
        <v>18</v>
      </c>
    </row>
    <row r="768" spans="1:11">
      <c r="A768" t="s">
        <v>1009</v>
      </c>
      <c r="B768" t="s">
        <v>210</v>
      </c>
      <c r="C768" t="s">
        <v>21</v>
      </c>
      <c r="D768" t="s">
        <v>22</v>
      </c>
      <c r="E768">
        <v>1499</v>
      </c>
      <c r="F768">
        <v>3</v>
      </c>
      <c r="G768">
        <v>4497</v>
      </c>
      <c r="H768" t="s">
        <v>62</v>
      </c>
      <c r="I768" t="s">
        <v>105</v>
      </c>
      <c r="J768" t="s">
        <v>90</v>
      </c>
      <c r="K768" t="s">
        <v>18</v>
      </c>
    </row>
    <row r="769" spans="1:11">
      <c r="A769" t="s">
        <v>1010</v>
      </c>
      <c r="B769" t="s">
        <v>1011</v>
      </c>
      <c r="C769" t="s">
        <v>135</v>
      </c>
      <c r="D769" t="s">
        <v>29</v>
      </c>
      <c r="E769">
        <v>3999</v>
      </c>
      <c r="F769">
        <v>1</v>
      </c>
      <c r="G769">
        <v>3999</v>
      </c>
      <c r="H769" t="s">
        <v>119</v>
      </c>
      <c r="I769" t="s">
        <v>44</v>
      </c>
      <c r="J769" t="s">
        <v>38</v>
      </c>
      <c r="K769" t="s">
        <v>18</v>
      </c>
    </row>
    <row r="770" spans="1:11">
      <c r="A770" t="s">
        <v>1012</v>
      </c>
      <c r="B770" t="s">
        <v>279</v>
      </c>
      <c r="C770" t="s">
        <v>87</v>
      </c>
      <c r="D770" t="s">
        <v>88</v>
      </c>
      <c r="E770">
        <v>5499</v>
      </c>
      <c r="F770">
        <v>4</v>
      </c>
      <c r="G770">
        <v>21996</v>
      </c>
      <c r="H770" t="s">
        <v>95</v>
      </c>
      <c r="I770" t="s">
        <v>105</v>
      </c>
      <c r="J770" t="s">
        <v>38</v>
      </c>
      <c r="K770" t="s">
        <v>18</v>
      </c>
    </row>
    <row r="771" spans="1:11">
      <c r="A771" t="s">
        <v>1013</v>
      </c>
      <c r="B771" t="s">
        <v>354</v>
      </c>
      <c r="C771" t="s">
        <v>21</v>
      </c>
      <c r="D771" t="s">
        <v>22</v>
      </c>
      <c r="E771">
        <v>1499</v>
      </c>
      <c r="F771">
        <v>2</v>
      </c>
      <c r="G771">
        <v>2998</v>
      </c>
      <c r="H771" t="s">
        <v>186</v>
      </c>
      <c r="I771" t="s">
        <v>63</v>
      </c>
      <c r="J771" t="s">
        <v>25</v>
      </c>
      <c r="K771" t="s">
        <v>45</v>
      </c>
    </row>
    <row r="772" spans="1:11">
      <c r="A772" t="s">
        <v>1014</v>
      </c>
      <c r="B772" t="s">
        <v>269</v>
      </c>
      <c r="C772" t="s">
        <v>80</v>
      </c>
      <c r="D772" t="s">
        <v>81</v>
      </c>
      <c r="E772">
        <v>299</v>
      </c>
      <c r="F772">
        <v>2</v>
      </c>
      <c r="G772">
        <v>598</v>
      </c>
      <c r="H772" t="s">
        <v>89</v>
      </c>
      <c r="I772" t="s">
        <v>98</v>
      </c>
      <c r="J772" t="s">
        <v>17</v>
      </c>
      <c r="K772" t="s">
        <v>18</v>
      </c>
    </row>
    <row r="773" spans="1:11">
      <c r="A773" t="s">
        <v>1015</v>
      </c>
      <c r="B773" t="s">
        <v>217</v>
      </c>
      <c r="C773" t="s">
        <v>80</v>
      </c>
      <c r="D773" t="s">
        <v>81</v>
      </c>
      <c r="E773">
        <v>299</v>
      </c>
      <c r="F773">
        <v>4</v>
      </c>
      <c r="G773">
        <v>1196</v>
      </c>
      <c r="H773" t="s">
        <v>30</v>
      </c>
      <c r="I773" t="s">
        <v>31</v>
      </c>
      <c r="J773" t="s">
        <v>90</v>
      </c>
      <c r="K773" t="s">
        <v>18</v>
      </c>
    </row>
    <row r="774" spans="1:11">
      <c r="A774" t="s">
        <v>1016</v>
      </c>
      <c r="B774" t="s">
        <v>281</v>
      </c>
      <c r="C774" t="s">
        <v>70</v>
      </c>
      <c r="D774" t="s">
        <v>29</v>
      </c>
      <c r="E774">
        <v>799</v>
      </c>
      <c r="F774">
        <v>4</v>
      </c>
      <c r="G774">
        <v>3196</v>
      </c>
      <c r="H774" t="s">
        <v>66</v>
      </c>
      <c r="I774" t="s">
        <v>98</v>
      </c>
      <c r="J774" t="s">
        <v>17</v>
      </c>
      <c r="K774" t="s">
        <v>18</v>
      </c>
    </row>
    <row r="775" spans="1:11">
      <c r="A775" t="s">
        <v>1017</v>
      </c>
      <c r="B775" t="s">
        <v>224</v>
      </c>
      <c r="C775" t="s">
        <v>122</v>
      </c>
      <c r="D775" t="s">
        <v>29</v>
      </c>
      <c r="E775">
        <v>1299</v>
      </c>
      <c r="F775">
        <v>5</v>
      </c>
      <c r="G775">
        <v>6495</v>
      </c>
      <c r="H775" t="s">
        <v>102</v>
      </c>
      <c r="I775" t="s">
        <v>82</v>
      </c>
      <c r="J775" t="s">
        <v>25</v>
      </c>
      <c r="K775" t="s">
        <v>18</v>
      </c>
    </row>
    <row r="776" spans="1:11">
      <c r="A776" t="s">
        <v>1018</v>
      </c>
      <c r="B776" t="s">
        <v>640</v>
      </c>
      <c r="C776" t="s">
        <v>135</v>
      </c>
      <c r="D776" t="s">
        <v>29</v>
      </c>
      <c r="E776">
        <v>3999</v>
      </c>
      <c r="F776">
        <v>2</v>
      </c>
      <c r="G776">
        <v>7998</v>
      </c>
      <c r="H776" t="s">
        <v>102</v>
      </c>
      <c r="I776" t="s">
        <v>24</v>
      </c>
      <c r="J776" t="s">
        <v>38</v>
      </c>
      <c r="K776" t="s">
        <v>33</v>
      </c>
    </row>
    <row r="777" spans="1:11">
      <c r="A777" t="s">
        <v>1019</v>
      </c>
      <c r="B777" t="s">
        <v>75</v>
      </c>
      <c r="C777" t="s">
        <v>135</v>
      </c>
      <c r="D777" t="s">
        <v>29</v>
      </c>
      <c r="E777">
        <v>3999</v>
      </c>
      <c r="F777">
        <v>5</v>
      </c>
      <c r="G777">
        <v>19995</v>
      </c>
      <c r="H777" t="s">
        <v>30</v>
      </c>
      <c r="I777" t="s">
        <v>125</v>
      </c>
      <c r="J777" t="s">
        <v>32</v>
      </c>
      <c r="K777" t="s">
        <v>18</v>
      </c>
    </row>
    <row r="778" spans="1:11">
      <c r="A778" t="s">
        <v>1020</v>
      </c>
      <c r="B778" t="s">
        <v>358</v>
      </c>
      <c r="C778" t="s">
        <v>76</v>
      </c>
      <c r="D778" t="s">
        <v>49</v>
      </c>
      <c r="E778">
        <v>1599</v>
      </c>
      <c r="F778">
        <v>4</v>
      </c>
      <c r="G778">
        <v>6396</v>
      </c>
      <c r="H778" t="s">
        <v>95</v>
      </c>
      <c r="I778" t="s">
        <v>105</v>
      </c>
      <c r="J778" t="s">
        <v>25</v>
      </c>
      <c r="K778" t="s">
        <v>18</v>
      </c>
    </row>
    <row r="779" spans="1:11">
      <c r="A779" t="s">
        <v>1021</v>
      </c>
      <c r="B779" t="s">
        <v>196</v>
      </c>
      <c r="C779" t="s">
        <v>76</v>
      </c>
      <c r="D779" t="s">
        <v>49</v>
      </c>
      <c r="E779">
        <v>1599</v>
      </c>
      <c r="F779">
        <v>1</v>
      </c>
      <c r="G779">
        <v>1599</v>
      </c>
      <c r="H779" t="s">
        <v>102</v>
      </c>
      <c r="I779" t="s">
        <v>24</v>
      </c>
      <c r="J779" t="s">
        <v>38</v>
      </c>
      <c r="K779" t="s">
        <v>18</v>
      </c>
    </row>
    <row r="780" spans="1:11">
      <c r="A780" t="s">
        <v>1022</v>
      </c>
      <c r="B780" t="s">
        <v>457</v>
      </c>
      <c r="C780" t="s">
        <v>87</v>
      </c>
      <c r="D780" t="s">
        <v>88</v>
      </c>
      <c r="E780">
        <v>5499</v>
      </c>
      <c r="F780">
        <v>3</v>
      </c>
      <c r="G780">
        <v>16497</v>
      </c>
      <c r="H780" t="s">
        <v>15</v>
      </c>
      <c r="I780" t="s">
        <v>44</v>
      </c>
      <c r="J780" t="s">
        <v>38</v>
      </c>
      <c r="K780" t="s">
        <v>18</v>
      </c>
    </row>
    <row r="781" spans="1:11">
      <c r="A781" t="s">
        <v>1023</v>
      </c>
      <c r="B781" t="s">
        <v>600</v>
      </c>
      <c r="C781" t="s">
        <v>76</v>
      </c>
      <c r="D781" t="s">
        <v>49</v>
      </c>
      <c r="E781">
        <v>1599</v>
      </c>
      <c r="F781">
        <v>5</v>
      </c>
      <c r="G781">
        <v>7995</v>
      </c>
      <c r="H781" t="s">
        <v>186</v>
      </c>
      <c r="I781" t="s">
        <v>67</v>
      </c>
      <c r="J781" t="s">
        <v>90</v>
      </c>
      <c r="K781" t="s">
        <v>18</v>
      </c>
    </row>
    <row r="782" spans="1:11">
      <c r="A782" t="s">
        <v>1024</v>
      </c>
      <c r="B782" t="s">
        <v>886</v>
      </c>
      <c r="C782" t="s">
        <v>135</v>
      </c>
      <c r="D782" t="s">
        <v>29</v>
      </c>
      <c r="E782">
        <v>3999</v>
      </c>
      <c r="F782">
        <v>5</v>
      </c>
      <c r="G782">
        <v>19995</v>
      </c>
      <c r="H782" t="s">
        <v>119</v>
      </c>
      <c r="I782" t="s">
        <v>31</v>
      </c>
      <c r="J782" t="s">
        <v>38</v>
      </c>
      <c r="K782" t="s">
        <v>18</v>
      </c>
    </row>
    <row r="783" spans="1:11">
      <c r="A783" t="s">
        <v>1025</v>
      </c>
      <c r="B783" t="s">
        <v>260</v>
      </c>
      <c r="C783" t="s">
        <v>48</v>
      </c>
      <c r="D783" t="s">
        <v>49</v>
      </c>
      <c r="E783">
        <v>699</v>
      </c>
      <c r="F783">
        <v>1</v>
      </c>
      <c r="G783">
        <v>699</v>
      </c>
      <c r="H783" t="s">
        <v>30</v>
      </c>
      <c r="I783" t="s">
        <v>98</v>
      </c>
      <c r="J783" t="s">
        <v>25</v>
      </c>
      <c r="K783" t="s">
        <v>33</v>
      </c>
    </row>
    <row r="784" spans="1:11">
      <c r="A784" t="s">
        <v>1026</v>
      </c>
      <c r="B784" t="s">
        <v>210</v>
      </c>
      <c r="C784" t="s">
        <v>162</v>
      </c>
      <c r="D784" t="s">
        <v>29</v>
      </c>
      <c r="E784">
        <v>1799</v>
      </c>
      <c r="F784">
        <v>4</v>
      </c>
      <c r="G784">
        <v>7196</v>
      </c>
      <c r="H784" t="s">
        <v>30</v>
      </c>
      <c r="I784" t="s">
        <v>63</v>
      </c>
      <c r="J784" t="s">
        <v>32</v>
      </c>
      <c r="K784" t="s">
        <v>18</v>
      </c>
    </row>
    <row r="785" spans="1:11">
      <c r="A785" t="s">
        <v>1027</v>
      </c>
      <c r="B785" t="s">
        <v>231</v>
      </c>
      <c r="C785" t="s">
        <v>28</v>
      </c>
      <c r="D785" t="s">
        <v>29</v>
      </c>
      <c r="E785">
        <v>1299</v>
      </c>
      <c r="F785">
        <v>5</v>
      </c>
      <c r="G785">
        <v>6495</v>
      </c>
      <c r="H785" t="s">
        <v>15</v>
      </c>
      <c r="I785" t="s">
        <v>105</v>
      </c>
      <c r="J785" t="s">
        <v>90</v>
      </c>
      <c r="K785" t="s">
        <v>18</v>
      </c>
    </row>
    <row r="786" spans="1:11">
      <c r="A786" t="s">
        <v>1028</v>
      </c>
      <c r="B786" t="s">
        <v>65</v>
      </c>
      <c r="C786" t="s">
        <v>52</v>
      </c>
      <c r="D786" t="s">
        <v>53</v>
      </c>
      <c r="E786">
        <v>199</v>
      </c>
      <c r="F786">
        <v>1</v>
      </c>
      <c r="G786">
        <v>199</v>
      </c>
      <c r="H786" t="s">
        <v>66</v>
      </c>
      <c r="I786" t="s">
        <v>57</v>
      </c>
      <c r="J786" t="s">
        <v>32</v>
      </c>
      <c r="K786" t="s">
        <v>33</v>
      </c>
    </row>
    <row r="787" spans="1:11">
      <c r="A787" t="s">
        <v>1029</v>
      </c>
      <c r="B787" t="s">
        <v>27</v>
      </c>
      <c r="C787" t="s">
        <v>48</v>
      </c>
      <c r="D787" t="s">
        <v>49</v>
      </c>
      <c r="E787">
        <v>699</v>
      </c>
      <c r="F787">
        <v>2</v>
      </c>
      <c r="G787">
        <v>1398</v>
      </c>
      <c r="H787" t="s">
        <v>37</v>
      </c>
      <c r="I787" t="s">
        <v>125</v>
      </c>
      <c r="J787" t="s">
        <v>17</v>
      </c>
      <c r="K787" t="s">
        <v>18</v>
      </c>
    </row>
    <row r="788" spans="1:11">
      <c r="A788" t="s">
        <v>1030</v>
      </c>
      <c r="B788" t="s">
        <v>340</v>
      </c>
      <c r="C788" t="s">
        <v>60</v>
      </c>
      <c r="D788" t="s">
        <v>61</v>
      </c>
      <c r="E788">
        <v>899</v>
      </c>
      <c r="F788">
        <v>5</v>
      </c>
      <c r="G788">
        <v>4495</v>
      </c>
      <c r="H788" t="s">
        <v>66</v>
      </c>
      <c r="I788" t="s">
        <v>31</v>
      </c>
      <c r="J788" t="s">
        <v>25</v>
      </c>
      <c r="K788" t="s">
        <v>18</v>
      </c>
    </row>
    <row r="789" spans="1:11">
      <c r="A789" t="s">
        <v>1031</v>
      </c>
      <c r="B789" t="s">
        <v>255</v>
      </c>
      <c r="C789" t="s">
        <v>28</v>
      </c>
      <c r="D789" t="s">
        <v>29</v>
      </c>
      <c r="E789">
        <v>1299</v>
      </c>
      <c r="F789">
        <v>2</v>
      </c>
      <c r="G789">
        <v>2598</v>
      </c>
      <c r="H789" t="s">
        <v>15</v>
      </c>
      <c r="I789" t="s">
        <v>63</v>
      </c>
      <c r="J789" t="s">
        <v>32</v>
      </c>
      <c r="K789" t="s">
        <v>18</v>
      </c>
    </row>
    <row r="790" spans="1:11">
      <c r="A790" t="s">
        <v>1032</v>
      </c>
      <c r="B790" t="s">
        <v>356</v>
      </c>
      <c r="C790" t="s">
        <v>21</v>
      </c>
      <c r="D790" t="s">
        <v>22</v>
      </c>
      <c r="E790">
        <v>1499</v>
      </c>
      <c r="F790">
        <v>5</v>
      </c>
      <c r="G790">
        <v>7495</v>
      </c>
      <c r="H790" t="s">
        <v>43</v>
      </c>
      <c r="I790" t="s">
        <v>125</v>
      </c>
      <c r="J790" t="s">
        <v>38</v>
      </c>
      <c r="K790" t="s">
        <v>18</v>
      </c>
    </row>
    <row r="791" spans="1:11">
      <c r="A791" t="s">
        <v>1033</v>
      </c>
      <c r="B791" t="s">
        <v>450</v>
      </c>
      <c r="C791" t="s">
        <v>70</v>
      </c>
      <c r="D791" t="s">
        <v>29</v>
      </c>
      <c r="E791">
        <v>799</v>
      </c>
      <c r="F791">
        <v>5</v>
      </c>
      <c r="G791">
        <v>3995</v>
      </c>
      <c r="H791" t="s">
        <v>119</v>
      </c>
      <c r="I791" t="s">
        <v>44</v>
      </c>
      <c r="J791" t="s">
        <v>17</v>
      </c>
      <c r="K791" t="s">
        <v>45</v>
      </c>
    </row>
    <row r="792" spans="1:11">
      <c r="A792" t="s">
        <v>1034</v>
      </c>
      <c r="B792" t="s">
        <v>598</v>
      </c>
      <c r="C792" t="s">
        <v>48</v>
      </c>
      <c r="D792" t="s">
        <v>49</v>
      </c>
      <c r="E792">
        <v>699</v>
      </c>
      <c r="F792">
        <v>1</v>
      </c>
      <c r="G792">
        <v>699</v>
      </c>
      <c r="H792" t="s">
        <v>23</v>
      </c>
      <c r="I792" t="s">
        <v>57</v>
      </c>
      <c r="J792" t="s">
        <v>90</v>
      </c>
      <c r="K792" t="s">
        <v>18</v>
      </c>
    </row>
    <row r="793" spans="1:11">
      <c r="A793" t="s">
        <v>1035</v>
      </c>
      <c r="B793" t="s">
        <v>375</v>
      </c>
      <c r="C793" t="s">
        <v>122</v>
      </c>
      <c r="D793" t="s">
        <v>29</v>
      </c>
      <c r="E793">
        <v>1299</v>
      </c>
      <c r="F793">
        <v>1</v>
      </c>
      <c r="G793">
        <v>1299</v>
      </c>
      <c r="H793" t="s">
        <v>30</v>
      </c>
      <c r="I793" t="s">
        <v>67</v>
      </c>
      <c r="J793" t="s">
        <v>90</v>
      </c>
      <c r="K793" t="s">
        <v>33</v>
      </c>
    </row>
    <row r="794" spans="1:11">
      <c r="A794" t="s">
        <v>1036</v>
      </c>
      <c r="B794" t="s">
        <v>217</v>
      </c>
      <c r="C794" t="s">
        <v>76</v>
      </c>
      <c r="D794" t="s">
        <v>49</v>
      </c>
      <c r="E794">
        <v>1599</v>
      </c>
      <c r="F794">
        <v>3</v>
      </c>
      <c r="G794">
        <v>4797</v>
      </c>
      <c r="H794" t="s">
        <v>89</v>
      </c>
      <c r="I794" t="s">
        <v>98</v>
      </c>
      <c r="J794" t="s">
        <v>90</v>
      </c>
      <c r="K794" t="s">
        <v>18</v>
      </c>
    </row>
    <row r="795" spans="1:11">
      <c r="A795" t="s">
        <v>1037</v>
      </c>
      <c r="B795" t="s">
        <v>132</v>
      </c>
      <c r="C795" t="s">
        <v>80</v>
      </c>
      <c r="D795" t="s">
        <v>81</v>
      </c>
      <c r="E795">
        <v>299</v>
      </c>
      <c r="F795">
        <v>3</v>
      </c>
      <c r="G795">
        <v>897</v>
      </c>
      <c r="H795" t="s">
        <v>89</v>
      </c>
      <c r="I795" t="s">
        <v>105</v>
      </c>
      <c r="J795" t="s">
        <v>32</v>
      </c>
      <c r="K795" t="s">
        <v>45</v>
      </c>
    </row>
    <row r="796" spans="1:11">
      <c r="A796" t="s">
        <v>1038</v>
      </c>
      <c r="B796" t="s">
        <v>139</v>
      </c>
      <c r="C796" t="s">
        <v>52</v>
      </c>
      <c r="D796" t="s">
        <v>53</v>
      </c>
      <c r="E796">
        <v>199</v>
      </c>
      <c r="F796">
        <v>1</v>
      </c>
      <c r="G796">
        <v>199</v>
      </c>
      <c r="H796" t="s">
        <v>15</v>
      </c>
      <c r="I796" t="s">
        <v>24</v>
      </c>
      <c r="J796" t="s">
        <v>38</v>
      </c>
      <c r="K796" t="s">
        <v>18</v>
      </c>
    </row>
    <row r="797" spans="1:11">
      <c r="A797" t="s">
        <v>1039</v>
      </c>
      <c r="B797" t="s">
        <v>662</v>
      </c>
      <c r="C797" t="s">
        <v>13</v>
      </c>
      <c r="D797" t="s">
        <v>14</v>
      </c>
      <c r="E797">
        <v>2499</v>
      </c>
      <c r="F797">
        <v>1</v>
      </c>
      <c r="G797">
        <v>2499</v>
      </c>
      <c r="H797" t="s">
        <v>102</v>
      </c>
      <c r="I797" t="s">
        <v>57</v>
      </c>
      <c r="J797" t="s">
        <v>17</v>
      </c>
      <c r="K797" t="s">
        <v>18</v>
      </c>
    </row>
    <row r="798" spans="1:11">
      <c r="A798" t="s">
        <v>1040</v>
      </c>
      <c r="B798" t="s">
        <v>255</v>
      </c>
      <c r="C798" t="s">
        <v>36</v>
      </c>
      <c r="D798" t="s">
        <v>29</v>
      </c>
      <c r="E798">
        <v>1999</v>
      </c>
      <c r="F798">
        <v>1</v>
      </c>
      <c r="G798">
        <v>1999</v>
      </c>
      <c r="H798" t="s">
        <v>89</v>
      </c>
      <c r="I798" t="s">
        <v>57</v>
      </c>
      <c r="J798" t="s">
        <v>90</v>
      </c>
      <c r="K798" t="s">
        <v>45</v>
      </c>
    </row>
    <row r="799" spans="1:11">
      <c r="A799" t="s">
        <v>1041</v>
      </c>
      <c r="B799" t="s">
        <v>329</v>
      </c>
      <c r="C799" t="s">
        <v>13</v>
      </c>
      <c r="D799" t="s">
        <v>14</v>
      </c>
      <c r="E799">
        <v>2499</v>
      </c>
      <c r="F799">
        <v>5</v>
      </c>
      <c r="G799">
        <v>12495</v>
      </c>
      <c r="H799" t="s">
        <v>119</v>
      </c>
      <c r="I799" t="s">
        <v>77</v>
      </c>
      <c r="J799" t="s">
        <v>17</v>
      </c>
      <c r="K799" t="s">
        <v>33</v>
      </c>
    </row>
    <row r="800" spans="1:11">
      <c r="A800" t="s">
        <v>1042</v>
      </c>
      <c r="B800" t="s">
        <v>255</v>
      </c>
      <c r="C800" t="s">
        <v>60</v>
      </c>
      <c r="D800" t="s">
        <v>61</v>
      </c>
      <c r="E800">
        <v>899</v>
      </c>
      <c r="F800">
        <v>1</v>
      </c>
      <c r="G800">
        <v>899</v>
      </c>
      <c r="H800" t="s">
        <v>95</v>
      </c>
      <c r="I800" t="s">
        <v>82</v>
      </c>
      <c r="J800" t="s">
        <v>38</v>
      </c>
      <c r="K800" t="s">
        <v>33</v>
      </c>
    </row>
    <row r="801" spans="1:11">
      <c r="A801" t="s">
        <v>1043</v>
      </c>
      <c r="B801" t="s">
        <v>487</v>
      </c>
      <c r="C801" t="s">
        <v>87</v>
      </c>
      <c r="D801" t="s">
        <v>88</v>
      </c>
      <c r="E801">
        <v>5499</v>
      </c>
      <c r="F801">
        <v>1</v>
      </c>
      <c r="G801">
        <v>5499</v>
      </c>
      <c r="H801" t="s">
        <v>95</v>
      </c>
      <c r="I801" t="s">
        <v>105</v>
      </c>
      <c r="J801" t="s">
        <v>25</v>
      </c>
      <c r="K801" t="s">
        <v>18</v>
      </c>
    </row>
    <row r="802" spans="1:11">
      <c r="A802" t="s">
        <v>1044</v>
      </c>
      <c r="B802" t="s">
        <v>310</v>
      </c>
      <c r="C802" t="s">
        <v>162</v>
      </c>
      <c r="D802" t="s">
        <v>29</v>
      </c>
      <c r="E802">
        <v>1799</v>
      </c>
      <c r="F802">
        <v>2</v>
      </c>
      <c r="G802">
        <v>3598</v>
      </c>
      <c r="H802" t="s">
        <v>157</v>
      </c>
      <c r="I802" t="s">
        <v>63</v>
      </c>
      <c r="J802" t="s">
        <v>32</v>
      </c>
      <c r="K802" t="s">
        <v>18</v>
      </c>
    </row>
    <row r="803" spans="1:11">
      <c r="A803" t="s">
        <v>1045</v>
      </c>
      <c r="B803" t="s">
        <v>413</v>
      </c>
      <c r="C803" t="s">
        <v>36</v>
      </c>
      <c r="D803" t="s">
        <v>29</v>
      </c>
      <c r="E803">
        <v>1999</v>
      </c>
      <c r="F803">
        <v>3</v>
      </c>
      <c r="G803">
        <v>5997</v>
      </c>
      <c r="H803" t="s">
        <v>43</v>
      </c>
      <c r="I803" t="s">
        <v>31</v>
      </c>
      <c r="J803" t="s">
        <v>25</v>
      </c>
      <c r="K803" t="s">
        <v>18</v>
      </c>
    </row>
    <row r="804" spans="1:11">
      <c r="A804" t="s">
        <v>1046</v>
      </c>
      <c r="B804" t="s">
        <v>598</v>
      </c>
      <c r="C804" t="s">
        <v>36</v>
      </c>
      <c r="D804" t="s">
        <v>29</v>
      </c>
      <c r="E804">
        <v>1999</v>
      </c>
      <c r="F804">
        <v>5</v>
      </c>
      <c r="G804">
        <v>9995</v>
      </c>
      <c r="H804" t="s">
        <v>186</v>
      </c>
      <c r="I804" t="s">
        <v>125</v>
      </c>
      <c r="J804" t="s">
        <v>17</v>
      </c>
      <c r="K804" t="s">
        <v>18</v>
      </c>
    </row>
    <row r="805" spans="1:11">
      <c r="A805" t="s">
        <v>1047</v>
      </c>
      <c r="B805" t="s">
        <v>215</v>
      </c>
      <c r="C805" t="s">
        <v>76</v>
      </c>
      <c r="D805" t="s">
        <v>49</v>
      </c>
      <c r="E805">
        <v>1599</v>
      </c>
      <c r="F805">
        <v>5</v>
      </c>
      <c r="G805">
        <v>7995</v>
      </c>
      <c r="H805" t="s">
        <v>66</v>
      </c>
      <c r="I805" t="s">
        <v>24</v>
      </c>
      <c r="J805" t="s">
        <v>38</v>
      </c>
      <c r="K805" t="s">
        <v>18</v>
      </c>
    </row>
    <row r="806" spans="1:11">
      <c r="A806" t="s">
        <v>1048</v>
      </c>
      <c r="B806" t="s">
        <v>279</v>
      </c>
      <c r="C806" t="s">
        <v>21</v>
      </c>
      <c r="D806" t="s">
        <v>22</v>
      </c>
      <c r="E806">
        <v>1499</v>
      </c>
      <c r="F806">
        <v>1</v>
      </c>
      <c r="G806">
        <v>1499</v>
      </c>
      <c r="H806" t="s">
        <v>119</v>
      </c>
      <c r="I806" t="s">
        <v>44</v>
      </c>
      <c r="J806" t="s">
        <v>25</v>
      </c>
      <c r="K806" t="s">
        <v>18</v>
      </c>
    </row>
    <row r="807" spans="1:11">
      <c r="A807" t="s">
        <v>1049</v>
      </c>
      <c r="B807" t="s">
        <v>379</v>
      </c>
      <c r="C807" t="s">
        <v>87</v>
      </c>
      <c r="D807" t="s">
        <v>88</v>
      </c>
      <c r="E807">
        <v>5499</v>
      </c>
      <c r="F807">
        <v>2</v>
      </c>
      <c r="G807">
        <v>10998</v>
      </c>
      <c r="H807" t="s">
        <v>119</v>
      </c>
      <c r="I807" t="s">
        <v>16</v>
      </c>
      <c r="J807" t="s">
        <v>25</v>
      </c>
      <c r="K807" t="s">
        <v>18</v>
      </c>
    </row>
    <row r="808" spans="1:11">
      <c r="A808" t="s">
        <v>1050</v>
      </c>
      <c r="B808" t="s">
        <v>709</v>
      </c>
      <c r="C808" t="s">
        <v>70</v>
      </c>
      <c r="D808" t="s">
        <v>29</v>
      </c>
      <c r="E808">
        <v>799</v>
      </c>
      <c r="F808">
        <v>5</v>
      </c>
      <c r="G808">
        <v>3995</v>
      </c>
      <c r="H808" t="s">
        <v>71</v>
      </c>
      <c r="I808" t="s">
        <v>31</v>
      </c>
      <c r="J808" t="s">
        <v>38</v>
      </c>
      <c r="K808" t="s">
        <v>18</v>
      </c>
    </row>
    <row r="809" spans="1:11">
      <c r="A809" t="s">
        <v>1051</v>
      </c>
      <c r="B809" t="s">
        <v>111</v>
      </c>
      <c r="C809" t="s">
        <v>28</v>
      </c>
      <c r="D809" t="s">
        <v>29</v>
      </c>
      <c r="E809">
        <v>1299</v>
      </c>
      <c r="F809">
        <v>3</v>
      </c>
      <c r="G809">
        <v>3897</v>
      </c>
      <c r="H809" t="s">
        <v>186</v>
      </c>
      <c r="I809" t="s">
        <v>57</v>
      </c>
      <c r="J809" t="s">
        <v>17</v>
      </c>
      <c r="K809" t="s">
        <v>33</v>
      </c>
    </row>
    <row r="810" spans="1:11">
      <c r="A810" t="s">
        <v>1052</v>
      </c>
      <c r="B810" t="s">
        <v>508</v>
      </c>
      <c r="C810" t="s">
        <v>21</v>
      </c>
      <c r="D810" t="s">
        <v>22</v>
      </c>
      <c r="E810">
        <v>1499</v>
      </c>
      <c r="F810">
        <v>2</v>
      </c>
      <c r="G810">
        <v>2998</v>
      </c>
      <c r="H810" t="s">
        <v>186</v>
      </c>
      <c r="I810" t="s">
        <v>82</v>
      </c>
      <c r="J810" t="s">
        <v>17</v>
      </c>
      <c r="K810" t="s">
        <v>18</v>
      </c>
    </row>
    <row r="811" spans="1:11">
      <c r="A811" t="s">
        <v>1053</v>
      </c>
      <c r="B811" t="s">
        <v>450</v>
      </c>
      <c r="C811" t="s">
        <v>135</v>
      </c>
      <c r="D811" t="s">
        <v>29</v>
      </c>
      <c r="E811">
        <v>3999</v>
      </c>
      <c r="F811">
        <v>1</v>
      </c>
      <c r="G811">
        <v>3999</v>
      </c>
      <c r="H811" t="s">
        <v>30</v>
      </c>
      <c r="I811" t="s">
        <v>44</v>
      </c>
      <c r="J811" t="s">
        <v>32</v>
      </c>
      <c r="K811" t="s">
        <v>18</v>
      </c>
    </row>
    <row r="812" spans="1:11">
      <c r="A812" t="s">
        <v>1054</v>
      </c>
      <c r="B812" t="s">
        <v>358</v>
      </c>
      <c r="C812" t="s">
        <v>48</v>
      </c>
      <c r="D812" t="s">
        <v>49</v>
      </c>
      <c r="E812">
        <v>699</v>
      </c>
      <c r="F812">
        <v>5</v>
      </c>
      <c r="G812">
        <v>3495</v>
      </c>
      <c r="H812" t="s">
        <v>66</v>
      </c>
      <c r="I812" t="s">
        <v>44</v>
      </c>
      <c r="J812" t="s">
        <v>17</v>
      </c>
      <c r="K812" t="s">
        <v>18</v>
      </c>
    </row>
    <row r="813" spans="1:11">
      <c r="A813" t="s">
        <v>1055</v>
      </c>
      <c r="B813" t="s">
        <v>662</v>
      </c>
      <c r="C813" t="s">
        <v>60</v>
      </c>
      <c r="D813" t="s">
        <v>61</v>
      </c>
      <c r="E813">
        <v>899</v>
      </c>
      <c r="F813">
        <v>5</v>
      </c>
      <c r="G813">
        <v>4495</v>
      </c>
      <c r="H813" t="s">
        <v>62</v>
      </c>
      <c r="I813" t="s">
        <v>31</v>
      </c>
      <c r="J813" t="s">
        <v>90</v>
      </c>
      <c r="K813" t="s">
        <v>18</v>
      </c>
    </row>
    <row r="814" spans="1:11">
      <c r="A814" t="s">
        <v>1056</v>
      </c>
      <c r="B814" t="s">
        <v>434</v>
      </c>
      <c r="C814" t="s">
        <v>13</v>
      </c>
      <c r="D814" t="s">
        <v>14</v>
      </c>
      <c r="E814">
        <v>2499</v>
      </c>
      <c r="F814">
        <v>5</v>
      </c>
      <c r="G814">
        <v>12495</v>
      </c>
      <c r="H814" t="s">
        <v>66</v>
      </c>
      <c r="I814" t="s">
        <v>57</v>
      </c>
      <c r="J814" t="s">
        <v>90</v>
      </c>
      <c r="K814" t="s">
        <v>33</v>
      </c>
    </row>
    <row r="815" spans="1:11">
      <c r="A815" t="s">
        <v>1057</v>
      </c>
      <c r="B815" t="s">
        <v>65</v>
      </c>
      <c r="C815" t="s">
        <v>28</v>
      </c>
      <c r="D815" t="s">
        <v>29</v>
      </c>
      <c r="E815">
        <v>1299</v>
      </c>
      <c r="F815">
        <v>3</v>
      </c>
      <c r="G815">
        <v>3897</v>
      </c>
      <c r="H815" t="s">
        <v>71</v>
      </c>
      <c r="I815" t="s">
        <v>67</v>
      </c>
      <c r="J815" t="s">
        <v>32</v>
      </c>
      <c r="K815" t="s">
        <v>18</v>
      </c>
    </row>
    <row r="816" spans="1:11">
      <c r="A816" t="s">
        <v>1058</v>
      </c>
      <c r="B816" t="s">
        <v>389</v>
      </c>
      <c r="C816" t="s">
        <v>87</v>
      </c>
      <c r="D816" t="s">
        <v>88</v>
      </c>
      <c r="E816">
        <v>5499</v>
      </c>
      <c r="F816">
        <v>4</v>
      </c>
      <c r="G816">
        <v>21996</v>
      </c>
      <c r="H816" t="s">
        <v>43</v>
      </c>
      <c r="I816" t="s">
        <v>98</v>
      </c>
      <c r="J816" t="s">
        <v>17</v>
      </c>
      <c r="K816" t="s">
        <v>18</v>
      </c>
    </row>
    <row r="817" spans="1:11">
      <c r="A817" t="s">
        <v>1059</v>
      </c>
      <c r="B817" t="s">
        <v>657</v>
      </c>
      <c r="C817" t="s">
        <v>70</v>
      </c>
      <c r="D817" t="s">
        <v>29</v>
      </c>
      <c r="E817">
        <v>799</v>
      </c>
      <c r="F817">
        <v>4</v>
      </c>
      <c r="G817">
        <v>3196</v>
      </c>
      <c r="H817" t="s">
        <v>15</v>
      </c>
      <c r="I817" t="s">
        <v>44</v>
      </c>
      <c r="J817" t="s">
        <v>17</v>
      </c>
      <c r="K817" t="s">
        <v>18</v>
      </c>
    </row>
    <row r="818" spans="1:11">
      <c r="A818" t="s">
        <v>1060</v>
      </c>
      <c r="B818" t="s">
        <v>316</v>
      </c>
      <c r="C818" t="s">
        <v>162</v>
      </c>
      <c r="D818" t="s">
        <v>29</v>
      </c>
      <c r="E818">
        <v>1799</v>
      </c>
      <c r="F818">
        <v>1</v>
      </c>
      <c r="G818">
        <v>1799</v>
      </c>
      <c r="H818" t="s">
        <v>119</v>
      </c>
      <c r="I818" t="s">
        <v>67</v>
      </c>
      <c r="J818" t="s">
        <v>90</v>
      </c>
      <c r="K818" t="s">
        <v>18</v>
      </c>
    </row>
    <row r="819" spans="1:11">
      <c r="A819" t="s">
        <v>1061</v>
      </c>
      <c r="B819" t="s">
        <v>494</v>
      </c>
      <c r="C819" t="s">
        <v>80</v>
      </c>
      <c r="D819" t="s">
        <v>81</v>
      </c>
      <c r="E819">
        <v>299</v>
      </c>
      <c r="F819">
        <v>2</v>
      </c>
      <c r="G819">
        <v>598</v>
      </c>
      <c r="H819" t="s">
        <v>23</v>
      </c>
      <c r="I819" t="s">
        <v>67</v>
      </c>
      <c r="J819" t="s">
        <v>90</v>
      </c>
      <c r="K819" t="s">
        <v>33</v>
      </c>
    </row>
    <row r="820" spans="1:11">
      <c r="A820" t="s">
        <v>1062</v>
      </c>
      <c r="B820" t="s">
        <v>150</v>
      </c>
      <c r="C820" t="s">
        <v>122</v>
      </c>
      <c r="D820" t="s">
        <v>29</v>
      </c>
      <c r="E820">
        <v>1299</v>
      </c>
      <c r="F820">
        <v>4</v>
      </c>
      <c r="G820">
        <v>5196</v>
      </c>
      <c r="H820" t="s">
        <v>66</v>
      </c>
      <c r="I820" t="s">
        <v>44</v>
      </c>
      <c r="J820" t="s">
        <v>90</v>
      </c>
      <c r="K820" t="s">
        <v>18</v>
      </c>
    </row>
    <row r="821" spans="1:11">
      <c r="A821" t="s">
        <v>1063</v>
      </c>
      <c r="B821" t="s">
        <v>161</v>
      </c>
      <c r="C821" t="s">
        <v>13</v>
      </c>
      <c r="D821" t="s">
        <v>14</v>
      </c>
      <c r="E821">
        <v>2499</v>
      </c>
      <c r="F821">
        <v>5</v>
      </c>
      <c r="G821">
        <v>12495</v>
      </c>
      <c r="H821" t="s">
        <v>71</v>
      </c>
      <c r="I821" t="s">
        <v>67</v>
      </c>
      <c r="J821" t="s">
        <v>32</v>
      </c>
      <c r="K821" t="s">
        <v>18</v>
      </c>
    </row>
    <row r="822" spans="1:11">
      <c r="A822" t="s">
        <v>1064</v>
      </c>
      <c r="B822" t="s">
        <v>600</v>
      </c>
      <c r="C822" t="s">
        <v>122</v>
      </c>
      <c r="D822" t="s">
        <v>29</v>
      </c>
      <c r="E822">
        <v>1299</v>
      </c>
      <c r="F822">
        <v>5</v>
      </c>
      <c r="G822">
        <v>6495</v>
      </c>
      <c r="H822" t="s">
        <v>37</v>
      </c>
      <c r="I822" t="s">
        <v>125</v>
      </c>
      <c r="J822" t="s">
        <v>17</v>
      </c>
      <c r="K822" t="s">
        <v>33</v>
      </c>
    </row>
    <row r="823" spans="1:11">
      <c r="A823" t="s">
        <v>1065</v>
      </c>
      <c r="B823" t="s">
        <v>379</v>
      </c>
      <c r="C823" t="s">
        <v>70</v>
      </c>
      <c r="D823" t="s">
        <v>29</v>
      </c>
      <c r="E823">
        <v>799</v>
      </c>
      <c r="F823">
        <v>3</v>
      </c>
      <c r="G823">
        <v>2397</v>
      </c>
      <c r="H823" t="s">
        <v>102</v>
      </c>
      <c r="I823" t="s">
        <v>98</v>
      </c>
      <c r="J823" t="s">
        <v>32</v>
      </c>
      <c r="K823" t="s">
        <v>18</v>
      </c>
    </row>
    <row r="824" spans="1:11">
      <c r="A824" t="s">
        <v>1066</v>
      </c>
      <c r="B824" t="s">
        <v>431</v>
      </c>
      <c r="C824" t="s">
        <v>80</v>
      </c>
      <c r="D824" t="s">
        <v>81</v>
      </c>
      <c r="E824">
        <v>299</v>
      </c>
      <c r="F824">
        <v>1</v>
      </c>
      <c r="G824">
        <v>299</v>
      </c>
      <c r="H824" t="s">
        <v>119</v>
      </c>
      <c r="I824" t="s">
        <v>57</v>
      </c>
      <c r="J824" t="s">
        <v>32</v>
      </c>
      <c r="K824" t="s">
        <v>18</v>
      </c>
    </row>
    <row r="825" spans="1:11">
      <c r="A825" t="s">
        <v>1067</v>
      </c>
      <c r="B825" t="s">
        <v>212</v>
      </c>
      <c r="C825" t="s">
        <v>80</v>
      </c>
      <c r="D825" t="s">
        <v>81</v>
      </c>
      <c r="E825">
        <v>299</v>
      </c>
      <c r="F825">
        <v>4</v>
      </c>
      <c r="G825">
        <v>1196</v>
      </c>
      <c r="H825" t="s">
        <v>43</v>
      </c>
      <c r="I825" t="s">
        <v>98</v>
      </c>
      <c r="J825" t="s">
        <v>17</v>
      </c>
      <c r="K825" t="s">
        <v>18</v>
      </c>
    </row>
    <row r="826" spans="1:11">
      <c r="A826" t="s">
        <v>1068</v>
      </c>
      <c r="B826" t="s">
        <v>227</v>
      </c>
      <c r="C826" t="s">
        <v>162</v>
      </c>
      <c r="D826" t="s">
        <v>29</v>
      </c>
      <c r="E826">
        <v>1799</v>
      </c>
      <c r="F826">
        <v>5</v>
      </c>
      <c r="G826">
        <v>8995</v>
      </c>
      <c r="H826" t="s">
        <v>23</v>
      </c>
      <c r="I826" t="s">
        <v>16</v>
      </c>
      <c r="J826" t="s">
        <v>17</v>
      </c>
      <c r="K826" t="s">
        <v>18</v>
      </c>
    </row>
    <row r="827" spans="1:11">
      <c r="A827" t="s">
        <v>1069</v>
      </c>
      <c r="B827" t="s">
        <v>354</v>
      </c>
      <c r="C827" t="s">
        <v>135</v>
      </c>
      <c r="D827" t="s">
        <v>29</v>
      </c>
      <c r="E827">
        <v>3999</v>
      </c>
      <c r="F827">
        <v>3</v>
      </c>
      <c r="G827">
        <v>11997</v>
      </c>
      <c r="H827" t="s">
        <v>56</v>
      </c>
      <c r="I827" t="s">
        <v>63</v>
      </c>
      <c r="J827" t="s">
        <v>25</v>
      </c>
      <c r="K827" t="s">
        <v>18</v>
      </c>
    </row>
    <row r="828" spans="1:11">
      <c r="A828" t="s">
        <v>1070</v>
      </c>
      <c r="B828" t="s">
        <v>198</v>
      </c>
      <c r="C828" t="s">
        <v>48</v>
      </c>
      <c r="D828" t="s">
        <v>49</v>
      </c>
      <c r="E828">
        <v>699</v>
      </c>
      <c r="F828">
        <v>1</v>
      </c>
      <c r="G828">
        <v>699</v>
      </c>
      <c r="H828" t="s">
        <v>95</v>
      </c>
      <c r="I828" t="s">
        <v>67</v>
      </c>
      <c r="J828" t="s">
        <v>32</v>
      </c>
      <c r="K828" t="s">
        <v>18</v>
      </c>
    </row>
    <row r="829" spans="1:11">
      <c r="A829" t="s">
        <v>1071</v>
      </c>
      <c r="B829" t="s">
        <v>1072</v>
      </c>
      <c r="C829" t="s">
        <v>80</v>
      </c>
      <c r="D829" t="s">
        <v>81</v>
      </c>
      <c r="E829">
        <v>299</v>
      </c>
      <c r="F829">
        <v>5</v>
      </c>
      <c r="G829">
        <v>1495</v>
      </c>
      <c r="H829" t="s">
        <v>43</v>
      </c>
      <c r="I829" t="s">
        <v>125</v>
      </c>
      <c r="J829" t="s">
        <v>38</v>
      </c>
      <c r="K829" t="s">
        <v>45</v>
      </c>
    </row>
    <row r="830" spans="1:11">
      <c r="A830" t="s">
        <v>1073</v>
      </c>
      <c r="B830" t="s">
        <v>59</v>
      </c>
      <c r="C830" t="s">
        <v>101</v>
      </c>
      <c r="D830" t="s">
        <v>81</v>
      </c>
      <c r="E830">
        <v>499</v>
      </c>
      <c r="F830">
        <v>1</v>
      </c>
      <c r="G830">
        <v>499</v>
      </c>
      <c r="H830" t="s">
        <v>157</v>
      </c>
      <c r="I830" t="s">
        <v>63</v>
      </c>
      <c r="J830" t="s">
        <v>25</v>
      </c>
      <c r="K830" t="s">
        <v>18</v>
      </c>
    </row>
    <row r="831" spans="1:11">
      <c r="A831" t="s">
        <v>1074</v>
      </c>
      <c r="B831" t="s">
        <v>431</v>
      </c>
      <c r="C831" t="s">
        <v>52</v>
      </c>
      <c r="D831" t="s">
        <v>53</v>
      </c>
      <c r="E831">
        <v>199</v>
      </c>
      <c r="F831">
        <v>3</v>
      </c>
      <c r="G831">
        <v>597</v>
      </c>
      <c r="H831" t="s">
        <v>62</v>
      </c>
      <c r="I831" t="s">
        <v>44</v>
      </c>
      <c r="J831" t="s">
        <v>25</v>
      </c>
      <c r="K831" t="s">
        <v>18</v>
      </c>
    </row>
    <row r="832" spans="1:11">
      <c r="A832" t="s">
        <v>1075</v>
      </c>
      <c r="B832" t="s">
        <v>300</v>
      </c>
      <c r="C832" t="s">
        <v>52</v>
      </c>
      <c r="D832" t="s">
        <v>53</v>
      </c>
      <c r="E832">
        <v>199</v>
      </c>
      <c r="F832">
        <v>4</v>
      </c>
      <c r="G832">
        <v>796</v>
      </c>
      <c r="H832" t="s">
        <v>157</v>
      </c>
      <c r="I832" t="s">
        <v>16</v>
      </c>
      <c r="J832" t="s">
        <v>32</v>
      </c>
      <c r="K832" t="s">
        <v>18</v>
      </c>
    </row>
    <row r="833" spans="1:11">
      <c r="A833" t="s">
        <v>1076</v>
      </c>
      <c r="B833" t="s">
        <v>445</v>
      </c>
      <c r="C833" t="s">
        <v>162</v>
      </c>
      <c r="D833" t="s">
        <v>29</v>
      </c>
      <c r="E833">
        <v>1799</v>
      </c>
      <c r="F833">
        <v>5</v>
      </c>
      <c r="G833">
        <v>8995</v>
      </c>
      <c r="H833" t="s">
        <v>95</v>
      </c>
      <c r="I833" t="s">
        <v>67</v>
      </c>
      <c r="J833" t="s">
        <v>25</v>
      </c>
      <c r="K833" t="s">
        <v>18</v>
      </c>
    </row>
    <row r="834" spans="1:11">
      <c r="A834" t="s">
        <v>1077</v>
      </c>
      <c r="B834" t="s">
        <v>207</v>
      </c>
      <c r="C834" t="s">
        <v>162</v>
      </c>
      <c r="D834" t="s">
        <v>29</v>
      </c>
      <c r="E834">
        <v>1799</v>
      </c>
      <c r="F834">
        <v>1</v>
      </c>
      <c r="G834">
        <v>1799</v>
      </c>
      <c r="H834" t="s">
        <v>15</v>
      </c>
      <c r="I834" t="s">
        <v>98</v>
      </c>
      <c r="J834" t="s">
        <v>32</v>
      </c>
      <c r="K834" t="s">
        <v>33</v>
      </c>
    </row>
    <row r="835" spans="1:11">
      <c r="A835" t="s">
        <v>1078</v>
      </c>
      <c r="B835" t="s">
        <v>237</v>
      </c>
      <c r="C835" t="s">
        <v>135</v>
      </c>
      <c r="D835" t="s">
        <v>29</v>
      </c>
      <c r="E835">
        <v>3999</v>
      </c>
      <c r="F835">
        <v>1</v>
      </c>
      <c r="G835">
        <v>3999</v>
      </c>
      <c r="H835" t="s">
        <v>43</v>
      </c>
      <c r="I835" t="s">
        <v>67</v>
      </c>
      <c r="J835" t="s">
        <v>17</v>
      </c>
      <c r="K835" t="s">
        <v>18</v>
      </c>
    </row>
    <row r="836" spans="1:11">
      <c r="A836" t="s">
        <v>1079</v>
      </c>
      <c r="B836" t="s">
        <v>124</v>
      </c>
      <c r="C836" t="s">
        <v>80</v>
      </c>
      <c r="D836" t="s">
        <v>81</v>
      </c>
      <c r="E836">
        <v>299</v>
      </c>
      <c r="F836">
        <v>1</v>
      </c>
      <c r="G836">
        <v>299</v>
      </c>
      <c r="H836" t="s">
        <v>37</v>
      </c>
      <c r="I836" t="s">
        <v>16</v>
      </c>
      <c r="J836" t="s">
        <v>38</v>
      </c>
      <c r="K836" t="s">
        <v>18</v>
      </c>
    </row>
    <row r="837" spans="1:11">
      <c r="A837" t="s">
        <v>1080</v>
      </c>
      <c r="B837" t="s">
        <v>100</v>
      </c>
      <c r="C837" t="s">
        <v>48</v>
      </c>
      <c r="D837" t="s">
        <v>49</v>
      </c>
      <c r="E837">
        <v>699</v>
      </c>
      <c r="F837">
        <v>5</v>
      </c>
      <c r="G837">
        <v>3495</v>
      </c>
      <c r="H837" t="s">
        <v>30</v>
      </c>
      <c r="I837" t="s">
        <v>24</v>
      </c>
      <c r="J837" t="s">
        <v>90</v>
      </c>
      <c r="K837" t="s">
        <v>45</v>
      </c>
    </row>
    <row r="838" spans="1:11">
      <c r="A838" t="s">
        <v>1081</v>
      </c>
      <c r="B838" t="s">
        <v>485</v>
      </c>
      <c r="C838" t="s">
        <v>60</v>
      </c>
      <c r="D838" t="s">
        <v>61</v>
      </c>
      <c r="E838">
        <v>899</v>
      </c>
      <c r="F838">
        <v>5</v>
      </c>
      <c r="G838">
        <v>4495</v>
      </c>
      <c r="H838" t="s">
        <v>30</v>
      </c>
      <c r="I838" t="s">
        <v>77</v>
      </c>
      <c r="J838" t="s">
        <v>90</v>
      </c>
      <c r="K838" t="s">
        <v>18</v>
      </c>
    </row>
    <row r="839" spans="1:11">
      <c r="A839" t="s">
        <v>1082</v>
      </c>
      <c r="B839" t="s">
        <v>111</v>
      </c>
      <c r="C839" t="s">
        <v>101</v>
      </c>
      <c r="D839" t="s">
        <v>81</v>
      </c>
      <c r="E839">
        <v>499</v>
      </c>
      <c r="F839">
        <v>4</v>
      </c>
      <c r="G839">
        <v>1996</v>
      </c>
      <c r="H839" t="s">
        <v>119</v>
      </c>
      <c r="I839" t="s">
        <v>57</v>
      </c>
      <c r="J839" t="s">
        <v>38</v>
      </c>
      <c r="K839" t="s">
        <v>18</v>
      </c>
    </row>
    <row r="840" spans="1:11">
      <c r="A840" t="s">
        <v>1083</v>
      </c>
      <c r="B840" t="s">
        <v>434</v>
      </c>
      <c r="C840" t="s">
        <v>60</v>
      </c>
      <c r="D840" t="s">
        <v>61</v>
      </c>
      <c r="E840">
        <v>899</v>
      </c>
      <c r="F840">
        <v>5</v>
      </c>
      <c r="G840">
        <v>4495</v>
      </c>
      <c r="H840" t="s">
        <v>30</v>
      </c>
      <c r="I840" t="s">
        <v>63</v>
      </c>
      <c r="J840" t="s">
        <v>32</v>
      </c>
      <c r="K840" t="s">
        <v>45</v>
      </c>
    </row>
    <row r="841" spans="1:11">
      <c r="A841" t="s">
        <v>1084</v>
      </c>
      <c r="B841" t="s">
        <v>154</v>
      </c>
      <c r="C841" t="s">
        <v>60</v>
      </c>
      <c r="D841" t="s">
        <v>61</v>
      </c>
      <c r="E841">
        <v>899</v>
      </c>
      <c r="F841">
        <v>2</v>
      </c>
      <c r="G841">
        <v>1798</v>
      </c>
      <c r="H841" t="s">
        <v>71</v>
      </c>
      <c r="I841" t="s">
        <v>125</v>
      </c>
      <c r="J841" t="s">
        <v>90</v>
      </c>
      <c r="K841" t="s">
        <v>18</v>
      </c>
    </row>
    <row r="842" spans="1:11">
      <c r="A842" t="s">
        <v>1085</v>
      </c>
      <c r="B842" t="s">
        <v>361</v>
      </c>
      <c r="C842" t="s">
        <v>28</v>
      </c>
      <c r="D842" t="s">
        <v>29</v>
      </c>
      <c r="E842">
        <v>1299</v>
      </c>
      <c r="F842">
        <v>3</v>
      </c>
      <c r="G842">
        <v>3897</v>
      </c>
      <c r="H842" t="s">
        <v>89</v>
      </c>
      <c r="I842" t="s">
        <v>63</v>
      </c>
      <c r="J842" t="s">
        <v>32</v>
      </c>
      <c r="K842" t="s">
        <v>18</v>
      </c>
    </row>
    <row r="843" spans="1:11">
      <c r="A843" t="s">
        <v>1086</v>
      </c>
      <c r="B843" t="s">
        <v>356</v>
      </c>
      <c r="C843" t="s">
        <v>87</v>
      </c>
      <c r="D843" t="s">
        <v>88</v>
      </c>
      <c r="E843">
        <v>5499</v>
      </c>
      <c r="F843">
        <v>4</v>
      </c>
      <c r="G843">
        <v>21996</v>
      </c>
      <c r="H843" t="s">
        <v>66</v>
      </c>
      <c r="I843" t="s">
        <v>63</v>
      </c>
      <c r="J843" t="s">
        <v>17</v>
      </c>
      <c r="K843" t="s">
        <v>45</v>
      </c>
    </row>
    <row r="844" spans="1:11">
      <c r="A844" t="s">
        <v>1087</v>
      </c>
      <c r="B844" t="s">
        <v>561</v>
      </c>
      <c r="C844" t="s">
        <v>21</v>
      </c>
      <c r="D844" t="s">
        <v>22</v>
      </c>
      <c r="E844">
        <v>1499</v>
      </c>
      <c r="F844">
        <v>2</v>
      </c>
      <c r="G844">
        <v>2998</v>
      </c>
      <c r="H844" t="s">
        <v>119</v>
      </c>
      <c r="I844" t="s">
        <v>98</v>
      </c>
      <c r="J844" t="s">
        <v>32</v>
      </c>
      <c r="K844" t="s">
        <v>18</v>
      </c>
    </row>
    <row r="845" spans="1:11">
      <c r="A845" t="s">
        <v>1088</v>
      </c>
      <c r="B845" t="s">
        <v>413</v>
      </c>
      <c r="C845" t="s">
        <v>135</v>
      </c>
      <c r="D845" t="s">
        <v>29</v>
      </c>
      <c r="E845">
        <v>3999</v>
      </c>
      <c r="F845">
        <v>5</v>
      </c>
      <c r="G845">
        <v>19995</v>
      </c>
      <c r="H845" t="s">
        <v>43</v>
      </c>
      <c r="I845" t="s">
        <v>125</v>
      </c>
      <c r="J845" t="s">
        <v>90</v>
      </c>
      <c r="K845" t="s">
        <v>45</v>
      </c>
    </row>
    <row r="846" spans="1:11">
      <c r="A846" t="s">
        <v>1089</v>
      </c>
      <c r="B846" t="s">
        <v>487</v>
      </c>
      <c r="C846" t="s">
        <v>13</v>
      </c>
      <c r="D846" t="s">
        <v>14</v>
      </c>
      <c r="E846">
        <v>2499</v>
      </c>
      <c r="F846">
        <v>3</v>
      </c>
      <c r="G846">
        <v>7497</v>
      </c>
      <c r="H846" t="s">
        <v>95</v>
      </c>
      <c r="I846" t="s">
        <v>67</v>
      </c>
      <c r="J846" t="s">
        <v>17</v>
      </c>
      <c r="K846" t="s">
        <v>18</v>
      </c>
    </row>
    <row r="847" spans="1:11">
      <c r="A847" t="s">
        <v>1090</v>
      </c>
      <c r="B847" t="s">
        <v>272</v>
      </c>
      <c r="C847" t="s">
        <v>162</v>
      </c>
      <c r="D847" t="s">
        <v>29</v>
      </c>
      <c r="E847">
        <v>1799</v>
      </c>
      <c r="F847">
        <v>4</v>
      </c>
      <c r="G847">
        <v>7196</v>
      </c>
      <c r="H847" t="s">
        <v>56</v>
      </c>
      <c r="I847" t="s">
        <v>63</v>
      </c>
      <c r="J847" t="s">
        <v>32</v>
      </c>
      <c r="K847" t="s">
        <v>45</v>
      </c>
    </row>
    <row r="848" spans="1:11">
      <c r="A848" t="s">
        <v>1091</v>
      </c>
      <c r="B848" t="s">
        <v>173</v>
      </c>
      <c r="C848" t="s">
        <v>48</v>
      </c>
      <c r="D848" t="s">
        <v>49</v>
      </c>
      <c r="E848">
        <v>699</v>
      </c>
      <c r="F848">
        <v>2</v>
      </c>
      <c r="G848">
        <v>1398</v>
      </c>
      <c r="H848" t="s">
        <v>71</v>
      </c>
      <c r="I848" t="s">
        <v>24</v>
      </c>
      <c r="J848" t="s">
        <v>90</v>
      </c>
      <c r="K848" t="s">
        <v>18</v>
      </c>
    </row>
    <row r="849" spans="1:11">
      <c r="A849" t="s">
        <v>1092</v>
      </c>
      <c r="B849" t="s">
        <v>229</v>
      </c>
      <c r="C849" t="s">
        <v>36</v>
      </c>
      <c r="D849" t="s">
        <v>29</v>
      </c>
      <c r="E849">
        <v>1999</v>
      </c>
      <c r="F849">
        <v>2</v>
      </c>
      <c r="G849">
        <v>3998</v>
      </c>
      <c r="H849" t="s">
        <v>66</v>
      </c>
      <c r="I849" t="s">
        <v>16</v>
      </c>
      <c r="J849" t="s">
        <v>38</v>
      </c>
      <c r="K849" t="s">
        <v>18</v>
      </c>
    </row>
    <row r="850" spans="1:11">
      <c r="A850" t="s">
        <v>1093</v>
      </c>
      <c r="B850" t="s">
        <v>402</v>
      </c>
      <c r="C850" t="s">
        <v>101</v>
      </c>
      <c r="D850" t="s">
        <v>81</v>
      </c>
      <c r="E850">
        <v>499</v>
      </c>
      <c r="F850">
        <v>4</v>
      </c>
      <c r="G850">
        <v>1996</v>
      </c>
      <c r="H850" t="s">
        <v>186</v>
      </c>
      <c r="I850" t="s">
        <v>24</v>
      </c>
      <c r="J850" t="s">
        <v>25</v>
      </c>
      <c r="K850" t="s">
        <v>18</v>
      </c>
    </row>
    <row r="851" spans="1:11">
      <c r="A851" t="s">
        <v>1094</v>
      </c>
      <c r="B851" t="s">
        <v>224</v>
      </c>
      <c r="C851" t="s">
        <v>21</v>
      </c>
      <c r="D851" t="s">
        <v>22</v>
      </c>
      <c r="E851">
        <v>1499</v>
      </c>
      <c r="F851">
        <v>1</v>
      </c>
      <c r="G851">
        <v>1499</v>
      </c>
      <c r="H851" t="s">
        <v>186</v>
      </c>
      <c r="I851" t="s">
        <v>24</v>
      </c>
      <c r="J851" t="s">
        <v>90</v>
      </c>
      <c r="K851" t="s">
        <v>45</v>
      </c>
    </row>
    <row r="852" spans="1:11">
      <c r="A852" t="s">
        <v>1095</v>
      </c>
      <c r="B852" t="s">
        <v>20</v>
      </c>
      <c r="C852" t="s">
        <v>87</v>
      </c>
      <c r="D852" t="s">
        <v>88</v>
      </c>
      <c r="E852">
        <v>5499</v>
      </c>
      <c r="F852">
        <v>5</v>
      </c>
      <c r="G852">
        <v>27495</v>
      </c>
      <c r="H852" t="s">
        <v>89</v>
      </c>
      <c r="I852" t="s">
        <v>44</v>
      </c>
      <c r="J852" t="s">
        <v>90</v>
      </c>
      <c r="K852" t="s">
        <v>18</v>
      </c>
    </row>
    <row r="853" spans="1:11">
      <c r="A853" t="s">
        <v>1096</v>
      </c>
      <c r="B853" t="s">
        <v>171</v>
      </c>
      <c r="C853" t="s">
        <v>36</v>
      </c>
      <c r="D853" t="s">
        <v>29</v>
      </c>
      <c r="E853">
        <v>1999</v>
      </c>
      <c r="F853">
        <v>4</v>
      </c>
      <c r="G853">
        <v>7996</v>
      </c>
      <c r="H853" t="s">
        <v>95</v>
      </c>
      <c r="I853" t="s">
        <v>82</v>
      </c>
      <c r="J853" t="s">
        <v>90</v>
      </c>
      <c r="K853" t="s">
        <v>18</v>
      </c>
    </row>
    <row r="854" spans="1:11">
      <c r="A854" t="s">
        <v>1097</v>
      </c>
      <c r="B854" t="s">
        <v>215</v>
      </c>
      <c r="C854" t="s">
        <v>28</v>
      </c>
      <c r="D854" t="s">
        <v>29</v>
      </c>
      <c r="E854">
        <v>1299</v>
      </c>
      <c r="F854">
        <v>1</v>
      </c>
      <c r="G854">
        <v>1299</v>
      </c>
      <c r="H854" t="s">
        <v>102</v>
      </c>
      <c r="I854" t="s">
        <v>16</v>
      </c>
      <c r="J854" t="s">
        <v>32</v>
      </c>
      <c r="K854" t="s">
        <v>45</v>
      </c>
    </row>
    <row r="855" spans="1:11">
      <c r="A855" t="s">
        <v>1098</v>
      </c>
      <c r="B855" t="s">
        <v>205</v>
      </c>
      <c r="C855" t="s">
        <v>87</v>
      </c>
      <c r="D855" t="s">
        <v>88</v>
      </c>
      <c r="E855">
        <v>5499</v>
      </c>
      <c r="F855">
        <v>5</v>
      </c>
      <c r="G855">
        <v>27495</v>
      </c>
      <c r="H855" t="s">
        <v>157</v>
      </c>
      <c r="I855" t="s">
        <v>63</v>
      </c>
      <c r="J855" t="s">
        <v>90</v>
      </c>
      <c r="K855" t="s">
        <v>18</v>
      </c>
    </row>
    <row r="856" spans="1:11">
      <c r="A856" t="s">
        <v>1099</v>
      </c>
      <c r="B856" t="s">
        <v>79</v>
      </c>
      <c r="C856" t="s">
        <v>87</v>
      </c>
      <c r="D856" t="s">
        <v>88</v>
      </c>
      <c r="E856">
        <v>5499</v>
      </c>
      <c r="F856">
        <v>4</v>
      </c>
      <c r="G856">
        <v>21996</v>
      </c>
      <c r="H856" t="s">
        <v>23</v>
      </c>
      <c r="I856" t="s">
        <v>16</v>
      </c>
      <c r="J856" t="s">
        <v>32</v>
      </c>
      <c r="K856" t="s">
        <v>18</v>
      </c>
    </row>
    <row r="857" spans="1:11">
      <c r="A857" t="s">
        <v>1100</v>
      </c>
      <c r="B857" t="s">
        <v>494</v>
      </c>
      <c r="C857" t="s">
        <v>135</v>
      </c>
      <c r="D857" t="s">
        <v>29</v>
      </c>
      <c r="E857">
        <v>3999</v>
      </c>
      <c r="F857">
        <v>4</v>
      </c>
      <c r="G857">
        <v>15996</v>
      </c>
      <c r="H857" t="s">
        <v>95</v>
      </c>
      <c r="I857" t="s">
        <v>44</v>
      </c>
      <c r="J857" t="s">
        <v>32</v>
      </c>
      <c r="K857" t="s">
        <v>45</v>
      </c>
    </row>
    <row r="858" spans="1:11">
      <c r="A858" t="s">
        <v>1101</v>
      </c>
      <c r="B858" t="s">
        <v>279</v>
      </c>
      <c r="C858" t="s">
        <v>52</v>
      </c>
      <c r="D858" t="s">
        <v>53</v>
      </c>
      <c r="E858">
        <v>199</v>
      </c>
      <c r="F858">
        <v>5</v>
      </c>
      <c r="G858">
        <v>995</v>
      </c>
      <c r="H858" t="s">
        <v>186</v>
      </c>
      <c r="I858" t="s">
        <v>105</v>
      </c>
      <c r="J858" t="s">
        <v>17</v>
      </c>
      <c r="K858" t="s">
        <v>45</v>
      </c>
    </row>
    <row r="859" spans="1:11">
      <c r="A859" t="s">
        <v>1102</v>
      </c>
      <c r="B859" t="s">
        <v>347</v>
      </c>
      <c r="C859" t="s">
        <v>52</v>
      </c>
      <c r="D859" t="s">
        <v>53</v>
      </c>
      <c r="E859">
        <v>199</v>
      </c>
      <c r="F859">
        <v>3</v>
      </c>
      <c r="G859">
        <v>597</v>
      </c>
      <c r="H859" t="s">
        <v>56</v>
      </c>
      <c r="I859" t="s">
        <v>44</v>
      </c>
      <c r="J859" t="s">
        <v>38</v>
      </c>
      <c r="K859" t="s">
        <v>18</v>
      </c>
    </row>
    <row r="860" spans="1:11">
      <c r="A860" t="s">
        <v>1103</v>
      </c>
      <c r="B860" t="s">
        <v>219</v>
      </c>
      <c r="C860" t="s">
        <v>162</v>
      </c>
      <c r="D860" t="s">
        <v>29</v>
      </c>
      <c r="E860">
        <v>1799</v>
      </c>
      <c r="F860">
        <v>3</v>
      </c>
      <c r="G860">
        <v>5397</v>
      </c>
      <c r="H860" t="s">
        <v>102</v>
      </c>
      <c r="I860" t="s">
        <v>82</v>
      </c>
      <c r="J860" t="s">
        <v>90</v>
      </c>
      <c r="K860" t="s">
        <v>18</v>
      </c>
    </row>
    <row r="861" spans="1:11">
      <c r="A861" t="s">
        <v>1104</v>
      </c>
      <c r="B861" t="s">
        <v>210</v>
      </c>
      <c r="C861" t="s">
        <v>52</v>
      </c>
      <c r="D861" t="s">
        <v>53</v>
      </c>
      <c r="E861">
        <v>199</v>
      </c>
      <c r="F861">
        <v>5</v>
      </c>
      <c r="G861">
        <v>995</v>
      </c>
      <c r="H861" t="s">
        <v>43</v>
      </c>
      <c r="I861" t="s">
        <v>67</v>
      </c>
      <c r="J861" t="s">
        <v>32</v>
      </c>
      <c r="K861" t="s">
        <v>18</v>
      </c>
    </row>
    <row r="862" spans="1:11">
      <c r="A862" t="s">
        <v>1105</v>
      </c>
      <c r="B862" t="s">
        <v>474</v>
      </c>
      <c r="C862" t="s">
        <v>36</v>
      </c>
      <c r="D862" t="s">
        <v>29</v>
      </c>
      <c r="E862">
        <v>1999</v>
      </c>
      <c r="F862">
        <v>5</v>
      </c>
      <c r="G862">
        <v>9995</v>
      </c>
      <c r="H862" t="s">
        <v>15</v>
      </c>
      <c r="I862" t="s">
        <v>67</v>
      </c>
      <c r="J862" t="s">
        <v>38</v>
      </c>
      <c r="K862" t="s">
        <v>45</v>
      </c>
    </row>
    <row r="863" spans="1:11">
      <c r="A863" t="s">
        <v>1106</v>
      </c>
      <c r="B863" t="s">
        <v>124</v>
      </c>
      <c r="C863" t="s">
        <v>70</v>
      </c>
      <c r="D863" t="s">
        <v>29</v>
      </c>
      <c r="E863">
        <v>799</v>
      </c>
      <c r="F863">
        <v>3</v>
      </c>
      <c r="G863">
        <v>2397</v>
      </c>
      <c r="H863" t="s">
        <v>95</v>
      </c>
      <c r="I863" t="s">
        <v>31</v>
      </c>
      <c r="J863" t="s">
        <v>17</v>
      </c>
      <c r="K863" t="s">
        <v>18</v>
      </c>
    </row>
    <row r="864" spans="1:11">
      <c r="A864" t="s">
        <v>1107</v>
      </c>
      <c r="B864" t="s">
        <v>377</v>
      </c>
      <c r="C864" t="s">
        <v>21</v>
      </c>
      <c r="D864" t="s">
        <v>22</v>
      </c>
      <c r="E864">
        <v>1499</v>
      </c>
      <c r="F864">
        <v>1</v>
      </c>
      <c r="G864">
        <v>1499</v>
      </c>
      <c r="H864" t="s">
        <v>119</v>
      </c>
      <c r="I864" t="s">
        <v>67</v>
      </c>
      <c r="J864" t="s">
        <v>90</v>
      </c>
      <c r="K864" t="s">
        <v>18</v>
      </c>
    </row>
    <row r="865" spans="1:11">
      <c r="A865" t="s">
        <v>1108</v>
      </c>
      <c r="B865" t="s">
        <v>657</v>
      </c>
      <c r="C865" t="s">
        <v>21</v>
      </c>
      <c r="D865" t="s">
        <v>22</v>
      </c>
      <c r="E865">
        <v>1499</v>
      </c>
      <c r="F865">
        <v>1</v>
      </c>
      <c r="G865">
        <v>1499</v>
      </c>
      <c r="H865" t="s">
        <v>37</v>
      </c>
      <c r="I865" t="s">
        <v>63</v>
      </c>
      <c r="J865" t="s">
        <v>32</v>
      </c>
      <c r="K865" t="s">
        <v>18</v>
      </c>
    </row>
    <row r="866" spans="1:11">
      <c r="A866" t="s">
        <v>1109</v>
      </c>
      <c r="B866" t="s">
        <v>229</v>
      </c>
      <c r="C866" t="s">
        <v>76</v>
      </c>
      <c r="D866" t="s">
        <v>49</v>
      </c>
      <c r="E866">
        <v>1599</v>
      </c>
      <c r="F866">
        <v>1</v>
      </c>
      <c r="G866">
        <v>1599</v>
      </c>
      <c r="H866" t="s">
        <v>62</v>
      </c>
      <c r="I866" t="s">
        <v>44</v>
      </c>
      <c r="J866" t="s">
        <v>32</v>
      </c>
      <c r="K866" t="s">
        <v>45</v>
      </c>
    </row>
    <row r="867" spans="1:11">
      <c r="A867" t="s">
        <v>1110</v>
      </c>
      <c r="B867" t="s">
        <v>185</v>
      </c>
      <c r="C867" t="s">
        <v>135</v>
      </c>
      <c r="D867" t="s">
        <v>29</v>
      </c>
      <c r="E867">
        <v>3999</v>
      </c>
      <c r="F867">
        <v>5</v>
      </c>
      <c r="G867">
        <v>19995</v>
      </c>
      <c r="H867" t="s">
        <v>66</v>
      </c>
      <c r="I867" t="s">
        <v>16</v>
      </c>
      <c r="J867" t="s">
        <v>90</v>
      </c>
      <c r="K867" t="s">
        <v>18</v>
      </c>
    </row>
    <row r="868" spans="1:11">
      <c r="A868" t="s">
        <v>1111</v>
      </c>
      <c r="B868" t="s">
        <v>69</v>
      </c>
      <c r="C868" t="s">
        <v>76</v>
      </c>
      <c r="D868" t="s">
        <v>49</v>
      </c>
      <c r="E868">
        <v>1599</v>
      </c>
      <c r="F868">
        <v>4</v>
      </c>
      <c r="G868">
        <v>6396</v>
      </c>
      <c r="H868" t="s">
        <v>56</v>
      </c>
      <c r="I868" t="s">
        <v>125</v>
      </c>
      <c r="J868" t="s">
        <v>32</v>
      </c>
      <c r="K868" t="s">
        <v>45</v>
      </c>
    </row>
    <row r="869" spans="1:11">
      <c r="A869" t="s">
        <v>1112</v>
      </c>
      <c r="B869" t="s">
        <v>1113</v>
      </c>
      <c r="C869" t="s">
        <v>135</v>
      </c>
      <c r="D869" t="s">
        <v>29</v>
      </c>
      <c r="E869">
        <v>3999</v>
      </c>
      <c r="F869">
        <v>1</v>
      </c>
      <c r="G869">
        <v>3999</v>
      </c>
      <c r="H869" t="s">
        <v>157</v>
      </c>
      <c r="I869" t="s">
        <v>31</v>
      </c>
      <c r="J869" t="s">
        <v>17</v>
      </c>
      <c r="K869" t="s">
        <v>18</v>
      </c>
    </row>
    <row r="870" spans="1:11">
      <c r="A870" t="s">
        <v>1114</v>
      </c>
      <c r="B870" t="s">
        <v>533</v>
      </c>
      <c r="C870" t="s">
        <v>28</v>
      </c>
      <c r="D870" t="s">
        <v>29</v>
      </c>
      <c r="E870">
        <v>1299</v>
      </c>
      <c r="F870">
        <v>5</v>
      </c>
      <c r="G870">
        <v>6495</v>
      </c>
      <c r="H870" t="s">
        <v>157</v>
      </c>
      <c r="I870" t="s">
        <v>77</v>
      </c>
      <c r="J870" t="s">
        <v>25</v>
      </c>
      <c r="K870" t="s">
        <v>18</v>
      </c>
    </row>
    <row r="871" spans="1:11">
      <c r="A871" t="s">
        <v>1115</v>
      </c>
      <c r="B871" t="s">
        <v>118</v>
      </c>
      <c r="C871" t="s">
        <v>70</v>
      </c>
      <c r="D871" t="s">
        <v>29</v>
      </c>
      <c r="E871">
        <v>799</v>
      </c>
      <c r="F871">
        <v>3</v>
      </c>
      <c r="G871">
        <v>2397</v>
      </c>
      <c r="H871" t="s">
        <v>89</v>
      </c>
      <c r="I871" t="s">
        <v>105</v>
      </c>
      <c r="J871" t="s">
        <v>38</v>
      </c>
      <c r="K871" t="s">
        <v>18</v>
      </c>
    </row>
    <row r="872" spans="1:11">
      <c r="A872" t="s">
        <v>1116</v>
      </c>
      <c r="B872" t="s">
        <v>177</v>
      </c>
      <c r="C872" t="s">
        <v>70</v>
      </c>
      <c r="D872" t="s">
        <v>29</v>
      </c>
      <c r="E872">
        <v>799</v>
      </c>
      <c r="F872">
        <v>3</v>
      </c>
      <c r="G872">
        <v>2397</v>
      </c>
      <c r="H872" t="s">
        <v>62</v>
      </c>
      <c r="I872" t="s">
        <v>44</v>
      </c>
      <c r="J872" t="s">
        <v>32</v>
      </c>
      <c r="K872" t="s">
        <v>18</v>
      </c>
    </row>
    <row r="873" spans="1:11">
      <c r="A873" t="s">
        <v>1117</v>
      </c>
      <c r="B873" t="s">
        <v>633</v>
      </c>
      <c r="C873" t="s">
        <v>21</v>
      </c>
      <c r="D873" t="s">
        <v>22</v>
      </c>
      <c r="E873">
        <v>1499</v>
      </c>
      <c r="F873">
        <v>2</v>
      </c>
      <c r="G873">
        <v>2998</v>
      </c>
      <c r="H873" t="s">
        <v>119</v>
      </c>
      <c r="I873" t="s">
        <v>105</v>
      </c>
      <c r="J873" t="s">
        <v>32</v>
      </c>
      <c r="K873" t="s">
        <v>45</v>
      </c>
    </row>
    <row r="874" spans="1:11">
      <c r="A874" t="s">
        <v>1118</v>
      </c>
      <c r="B874" t="s">
        <v>293</v>
      </c>
      <c r="C874" t="s">
        <v>87</v>
      </c>
      <c r="D874" t="s">
        <v>88</v>
      </c>
      <c r="E874">
        <v>5499</v>
      </c>
      <c r="F874">
        <v>4</v>
      </c>
      <c r="G874">
        <v>21996</v>
      </c>
      <c r="H874" t="s">
        <v>102</v>
      </c>
      <c r="I874" t="s">
        <v>98</v>
      </c>
      <c r="J874" t="s">
        <v>90</v>
      </c>
      <c r="K874" t="s">
        <v>18</v>
      </c>
    </row>
    <row r="875" spans="1:11">
      <c r="A875" t="s">
        <v>1119</v>
      </c>
      <c r="B875" t="s">
        <v>598</v>
      </c>
      <c r="C875" t="s">
        <v>80</v>
      </c>
      <c r="D875" t="s">
        <v>81</v>
      </c>
      <c r="E875">
        <v>299</v>
      </c>
      <c r="F875">
        <v>4</v>
      </c>
      <c r="G875">
        <v>1196</v>
      </c>
      <c r="H875" t="s">
        <v>62</v>
      </c>
      <c r="I875" t="s">
        <v>125</v>
      </c>
      <c r="J875" t="s">
        <v>17</v>
      </c>
      <c r="K875" t="s">
        <v>18</v>
      </c>
    </row>
    <row r="876" spans="1:11">
      <c r="A876" t="s">
        <v>1120</v>
      </c>
      <c r="B876" t="s">
        <v>59</v>
      </c>
      <c r="C876" t="s">
        <v>76</v>
      </c>
      <c r="D876" t="s">
        <v>49</v>
      </c>
      <c r="E876">
        <v>1599</v>
      </c>
      <c r="F876">
        <v>1</v>
      </c>
      <c r="G876">
        <v>1599</v>
      </c>
      <c r="H876" t="s">
        <v>95</v>
      </c>
      <c r="I876" t="s">
        <v>31</v>
      </c>
      <c r="J876" t="s">
        <v>17</v>
      </c>
      <c r="K876" t="s">
        <v>18</v>
      </c>
    </row>
    <row r="877" spans="1:11">
      <c r="A877" t="s">
        <v>1121</v>
      </c>
      <c r="B877" t="s">
        <v>229</v>
      </c>
      <c r="C877" t="s">
        <v>87</v>
      </c>
      <c r="D877" t="s">
        <v>88</v>
      </c>
      <c r="E877">
        <v>5499</v>
      </c>
      <c r="F877">
        <v>2</v>
      </c>
      <c r="G877">
        <v>10998</v>
      </c>
      <c r="H877" t="s">
        <v>56</v>
      </c>
      <c r="I877" t="s">
        <v>77</v>
      </c>
      <c r="J877" t="s">
        <v>25</v>
      </c>
      <c r="K877" t="s">
        <v>18</v>
      </c>
    </row>
    <row r="878" spans="1:11">
      <c r="A878" t="s">
        <v>1122</v>
      </c>
      <c r="B878" t="s">
        <v>1072</v>
      </c>
      <c r="C878" t="s">
        <v>76</v>
      </c>
      <c r="D878" t="s">
        <v>49</v>
      </c>
      <c r="E878">
        <v>1599</v>
      </c>
      <c r="F878">
        <v>5</v>
      </c>
      <c r="G878">
        <v>7995</v>
      </c>
      <c r="H878" t="s">
        <v>66</v>
      </c>
      <c r="I878" t="s">
        <v>98</v>
      </c>
      <c r="J878" t="s">
        <v>17</v>
      </c>
      <c r="K878" t="s">
        <v>18</v>
      </c>
    </row>
    <row r="879" spans="1:11">
      <c r="A879" t="s">
        <v>1123</v>
      </c>
      <c r="B879" t="s">
        <v>340</v>
      </c>
      <c r="C879" t="s">
        <v>135</v>
      </c>
      <c r="D879" t="s">
        <v>29</v>
      </c>
      <c r="E879">
        <v>3999</v>
      </c>
      <c r="F879">
        <v>1</v>
      </c>
      <c r="G879">
        <v>3999</v>
      </c>
      <c r="H879" t="s">
        <v>95</v>
      </c>
      <c r="I879" t="s">
        <v>24</v>
      </c>
      <c r="J879" t="s">
        <v>38</v>
      </c>
      <c r="K879" t="s">
        <v>18</v>
      </c>
    </row>
    <row r="880" spans="1:11">
      <c r="A880" t="s">
        <v>1124</v>
      </c>
      <c r="B880" t="s">
        <v>1125</v>
      </c>
      <c r="C880" t="s">
        <v>135</v>
      </c>
      <c r="D880" t="s">
        <v>29</v>
      </c>
      <c r="E880">
        <v>3999</v>
      </c>
      <c r="F880">
        <v>3</v>
      </c>
      <c r="G880">
        <v>11997</v>
      </c>
      <c r="H880" t="s">
        <v>119</v>
      </c>
      <c r="I880" t="s">
        <v>16</v>
      </c>
      <c r="J880" t="s">
        <v>38</v>
      </c>
      <c r="K880" t="s">
        <v>18</v>
      </c>
    </row>
    <row r="881" spans="1:11">
      <c r="A881" t="s">
        <v>1126</v>
      </c>
      <c r="B881" t="s">
        <v>210</v>
      </c>
      <c r="C881" t="s">
        <v>60</v>
      </c>
      <c r="D881" t="s">
        <v>61</v>
      </c>
      <c r="E881">
        <v>899</v>
      </c>
      <c r="F881">
        <v>5</v>
      </c>
      <c r="G881">
        <v>4495</v>
      </c>
      <c r="H881" t="s">
        <v>62</v>
      </c>
      <c r="I881" t="s">
        <v>98</v>
      </c>
      <c r="J881" t="s">
        <v>25</v>
      </c>
      <c r="K881" t="s">
        <v>18</v>
      </c>
    </row>
    <row r="882" spans="1:11">
      <c r="A882" t="s">
        <v>1127</v>
      </c>
      <c r="B882" t="s">
        <v>709</v>
      </c>
      <c r="C882" t="s">
        <v>101</v>
      </c>
      <c r="D882" t="s">
        <v>81</v>
      </c>
      <c r="E882">
        <v>499</v>
      </c>
      <c r="F882">
        <v>3</v>
      </c>
      <c r="G882">
        <v>1497</v>
      </c>
      <c r="H882" t="s">
        <v>71</v>
      </c>
      <c r="I882" t="s">
        <v>31</v>
      </c>
      <c r="J882" t="s">
        <v>17</v>
      </c>
      <c r="K882" t="s">
        <v>18</v>
      </c>
    </row>
    <row r="883" spans="1:11">
      <c r="A883" t="s">
        <v>1128</v>
      </c>
      <c r="B883" t="s">
        <v>100</v>
      </c>
      <c r="C883" t="s">
        <v>13</v>
      </c>
      <c r="D883" t="s">
        <v>14</v>
      </c>
      <c r="E883">
        <v>2499</v>
      </c>
      <c r="F883">
        <v>1</v>
      </c>
      <c r="G883">
        <v>2499</v>
      </c>
      <c r="H883" t="s">
        <v>119</v>
      </c>
      <c r="I883" t="s">
        <v>105</v>
      </c>
      <c r="J883" t="s">
        <v>90</v>
      </c>
      <c r="K883" t="s">
        <v>18</v>
      </c>
    </row>
    <row r="884" spans="1:11">
      <c r="A884" t="s">
        <v>1129</v>
      </c>
      <c r="B884" t="s">
        <v>557</v>
      </c>
      <c r="C884" t="s">
        <v>21</v>
      </c>
      <c r="D884" t="s">
        <v>22</v>
      </c>
      <c r="E884">
        <v>1499</v>
      </c>
      <c r="F884">
        <v>4</v>
      </c>
      <c r="G884">
        <v>5996</v>
      </c>
      <c r="H884" t="s">
        <v>89</v>
      </c>
      <c r="I884" t="s">
        <v>24</v>
      </c>
      <c r="J884" t="s">
        <v>38</v>
      </c>
      <c r="K884" t="s">
        <v>18</v>
      </c>
    </row>
    <row r="885" spans="1:11">
      <c r="A885" t="s">
        <v>1130</v>
      </c>
      <c r="B885" t="s">
        <v>171</v>
      </c>
      <c r="C885" t="s">
        <v>101</v>
      </c>
      <c r="D885" t="s">
        <v>81</v>
      </c>
      <c r="E885">
        <v>499</v>
      </c>
      <c r="F885">
        <v>5</v>
      </c>
      <c r="G885">
        <v>2495</v>
      </c>
      <c r="H885" t="s">
        <v>89</v>
      </c>
      <c r="I885" t="s">
        <v>16</v>
      </c>
      <c r="J885" t="s">
        <v>38</v>
      </c>
      <c r="K885" t="s">
        <v>18</v>
      </c>
    </row>
    <row r="886" spans="1:11">
      <c r="A886" t="s">
        <v>1131</v>
      </c>
      <c r="B886" t="s">
        <v>276</v>
      </c>
      <c r="C886" t="s">
        <v>48</v>
      </c>
      <c r="D886" t="s">
        <v>49</v>
      </c>
      <c r="E886">
        <v>699</v>
      </c>
      <c r="F886">
        <v>2</v>
      </c>
      <c r="G886">
        <v>1398</v>
      </c>
      <c r="H886" t="s">
        <v>56</v>
      </c>
      <c r="I886" t="s">
        <v>98</v>
      </c>
      <c r="J886" t="s">
        <v>38</v>
      </c>
      <c r="K886" t="s">
        <v>18</v>
      </c>
    </row>
    <row r="887" spans="1:11">
      <c r="A887" t="s">
        <v>1132</v>
      </c>
      <c r="B887" t="s">
        <v>227</v>
      </c>
      <c r="C887" t="s">
        <v>28</v>
      </c>
      <c r="D887" t="s">
        <v>29</v>
      </c>
      <c r="E887">
        <v>1299</v>
      </c>
      <c r="F887">
        <v>2</v>
      </c>
      <c r="G887">
        <v>2598</v>
      </c>
      <c r="H887" t="s">
        <v>95</v>
      </c>
      <c r="I887" t="s">
        <v>77</v>
      </c>
      <c r="J887" t="s">
        <v>38</v>
      </c>
      <c r="K887" t="s">
        <v>45</v>
      </c>
    </row>
    <row r="888" spans="1:11">
      <c r="A888" t="s">
        <v>1133</v>
      </c>
      <c r="B888" t="s">
        <v>177</v>
      </c>
      <c r="C888" t="s">
        <v>21</v>
      </c>
      <c r="D888" t="s">
        <v>22</v>
      </c>
      <c r="E888">
        <v>1499</v>
      </c>
      <c r="F888">
        <v>3</v>
      </c>
      <c r="G888">
        <v>4497</v>
      </c>
      <c r="H888" t="s">
        <v>66</v>
      </c>
      <c r="I888" t="s">
        <v>82</v>
      </c>
      <c r="J888" t="s">
        <v>38</v>
      </c>
      <c r="K888" t="s">
        <v>18</v>
      </c>
    </row>
    <row r="889" spans="1:11">
      <c r="A889" t="s">
        <v>1134</v>
      </c>
      <c r="B889" t="s">
        <v>104</v>
      </c>
      <c r="C889" t="s">
        <v>76</v>
      </c>
      <c r="D889" t="s">
        <v>49</v>
      </c>
      <c r="E889">
        <v>1599</v>
      </c>
      <c r="F889">
        <v>3</v>
      </c>
      <c r="G889">
        <v>4797</v>
      </c>
      <c r="H889" t="s">
        <v>119</v>
      </c>
      <c r="I889" t="s">
        <v>44</v>
      </c>
      <c r="J889" t="s">
        <v>25</v>
      </c>
      <c r="K889" t="s">
        <v>45</v>
      </c>
    </row>
    <row r="890" spans="1:11">
      <c r="A890" t="s">
        <v>1135</v>
      </c>
      <c r="B890" t="s">
        <v>356</v>
      </c>
      <c r="C890" t="s">
        <v>122</v>
      </c>
      <c r="D890" t="s">
        <v>29</v>
      </c>
      <c r="E890">
        <v>1299</v>
      </c>
      <c r="F890">
        <v>3</v>
      </c>
      <c r="G890">
        <v>3897</v>
      </c>
      <c r="H890" t="s">
        <v>102</v>
      </c>
      <c r="I890" t="s">
        <v>67</v>
      </c>
      <c r="J890" t="s">
        <v>32</v>
      </c>
      <c r="K890" t="s">
        <v>33</v>
      </c>
    </row>
    <row r="891" spans="1:11">
      <c r="A891" t="s">
        <v>1136</v>
      </c>
      <c r="B891" t="s">
        <v>546</v>
      </c>
      <c r="C891" t="s">
        <v>80</v>
      </c>
      <c r="D891" t="s">
        <v>81</v>
      </c>
      <c r="E891">
        <v>299</v>
      </c>
      <c r="F891">
        <v>4</v>
      </c>
      <c r="G891">
        <v>1196</v>
      </c>
      <c r="H891" t="s">
        <v>89</v>
      </c>
      <c r="I891" t="s">
        <v>16</v>
      </c>
      <c r="J891" t="s">
        <v>32</v>
      </c>
      <c r="K891" t="s">
        <v>45</v>
      </c>
    </row>
    <row r="892" spans="1:11">
      <c r="A892" t="s">
        <v>1137</v>
      </c>
      <c r="B892" t="s">
        <v>373</v>
      </c>
      <c r="C892" t="s">
        <v>101</v>
      </c>
      <c r="D892" t="s">
        <v>81</v>
      </c>
      <c r="E892">
        <v>499</v>
      </c>
      <c r="F892">
        <v>5</v>
      </c>
      <c r="G892">
        <v>2495</v>
      </c>
      <c r="H892" t="s">
        <v>186</v>
      </c>
      <c r="I892" t="s">
        <v>24</v>
      </c>
      <c r="J892" t="s">
        <v>38</v>
      </c>
      <c r="K892" t="s">
        <v>18</v>
      </c>
    </row>
    <row r="893" spans="1:11">
      <c r="A893" t="s">
        <v>1138</v>
      </c>
      <c r="B893" t="s">
        <v>55</v>
      </c>
      <c r="C893" t="s">
        <v>101</v>
      </c>
      <c r="D893" t="s">
        <v>81</v>
      </c>
      <c r="E893">
        <v>499</v>
      </c>
      <c r="F893">
        <v>1</v>
      </c>
      <c r="G893">
        <v>499</v>
      </c>
      <c r="H893" t="s">
        <v>95</v>
      </c>
      <c r="I893" t="s">
        <v>44</v>
      </c>
      <c r="J893" t="s">
        <v>32</v>
      </c>
      <c r="K893" t="s">
        <v>18</v>
      </c>
    </row>
    <row r="894" spans="1:11">
      <c r="A894" t="s">
        <v>1139</v>
      </c>
      <c r="B894" t="s">
        <v>227</v>
      </c>
      <c r="C894" t="s">
        <v>87</v>
      </c>
      <c r="D894" t="s">
        <v>88</v>
      </c>
      <c r="E894">
        <v>5499</v>
      </c>
      <c r="F894">
        <v>1</v>
      </c>
      <c r="G894">
        <v>5499</v>
      </c>
      <c r="H894" t="s">
        <v>62</v>
      </c>
      <c r="I894" t="s">
        <v>24</v>
      </c>
      <c r="J894" t="s">
        <v>38</v>
      </c>
      <c r="K894" t="s">
        <v>33</v>
      </c>
    </row>
    <row r="895" spans="1:11">
      <c r="A895" t="s">
        <v>1140</v>
      </c>
      <c r="B895" t="s">
        <v>633</v>
      </c>
      <c r="C895" t="s">
        <v>80</v>
      </c>
      <c r="D895" t="s">
        <v>81</v>
      </c>
      <c r="E895">
        <v>299</v>
      </c>
      <c r="F895">
        <v>1</v>
      </c>
      <c r="G895">
        <v>299</v>
      </c>
      <c r="H895" t="s">
        <v>95</v>
      </c>
      <c r="I895" t="s">
        <v>24</v>
      </c>
      <c r="J895" t="s">
        <v>38</v>
      </c>
      <c r="K895" t="s">
        <v>18</v>
      </c>
    </row>
    <row r="896" spans="1:11">
      <c r="A896" t="s">
        <v>1141</v>
      </c>
      <c r="B896" t="s">
        <v>164</v>
      </c>
      <c r="C896" t="s">
        <v>36</v>
      </c>
      <c r="D896" t="s">
        <v>29</v>
      </c>
      <c r="E896">
        <v>1999</v>
      </c>
      <c r="F896">
        <v>3</v>
      </c>
      <c r="G896">
        <v>5997</v>
      </c>
      <c r="H896" t="s">
        <v>30</v>
      </c>
      <c r="I896" t="s">
        <v>77</v>
      </c>
      <c r="J896" t="s">
        <v>38</v>
      </c>
      <c r="K896" t="s">
        <v>33</v>
      </c>
    </row>
    <row r="897" spans="1:11">
      <c r="A897" t="s">
        <v>1142</v>
      </c>
      <c r="B897" t="s">
        <v>447</v>
      </c>
      <c r="C897" t="s">
        <v>80</v>
      </c>
      <c r="D897" t="s">
        <v>81</v>
      </c>
      <c r="E897">
        <v>299</v>
      </c>
      <c r="F897">
        <v>3</v>
      </c>
      <c r="G897">
        <v>897</v>
      </c>
      <c r="H897" t="s">
        <v>95</v>
      </c>
      <c r="I897" t="s">
        <v>63</v>
      </c>
      <c r="J897" t="s">
        <v>25</v>
      </c>
      <c r="K897" t="s">
        <v>18</v>
      </c>
    </row>
    <row r="898" spans="1:11">
      <c r="A898" t="s">
        <v>1143</v>
      </c>
      <c r="B898" t="s">
        <v>347</v>
      </c>
      <c r="C898" t="s">
        <v>60</v>
      </c>
      <c r="D898" t="s">
        <v>61</v>
      </c>
      <c r="E898">
        <v>899</v>
      </c>
      <c r="F898">
        <v>4</v>
      </c>
      <c r="G898">
        <v>3596</v>
      </c>
      <c r="H898" t="s">
        <v>89</v>
      </c>
      <c r="I898" t="s">
        <v>105</v>
      </c>
      <c r="J898" t="s">
        <v>38</v>
      </c>
      <c r="K898" t="s">
        <v>18</v>
      </c>
    </row>
    <row r="899" spans="1:11">
      <c r="A899" t="s">
        <v>1144</v>
      </c>
      <c r="B899" t="s">
        <v>212</v>
      </c>
      <c r="C899" t="s">
        <v>76</v>
      </c>
      <c r="D899" t="s">
        <v>49</v>
      </c>
      <c r="E899">
        <v>1599</v>
      </c>
      <c r="F899">
        <v>4</v>
      </c>
      <c r="G899">
        <v>6396</v>
      </c>
      <c r="H899" t="s">
        <v>62</v>
      </c>
      <c r="I899" t="s">
        <v>105</v>
      </c>
      <c r="J899" t="s">
        <v>90</v>
      </c>
      <c r="K899" t="s">
        <v>45</v>
      </c>
    </row>
    <row r="900" spans="1:11">
      <c r="A900" t="s">
        <v>1145</v>
      </c>
      <c r="B900" t="s">
        <v>246</v>
      </c>
      <c r="C900" t="s">
        <v>162</v>
      </c>
      <c r="D900" t="s">
        <v>29</v>
      </c>
      <c r="E900">
        <v>1799</v>
      </c>
      <c r="F900">
        <v>3</v>
      </c>
      <c r="G900">
        <v>5397</v>
      </c>
      <c r="H900" t="s">
        <v>62</v>
      </c>
      <c r="I900" t="s">
        <v>82</v>
      </c>
      <c r="J900" t="s">
        <v>25</v>
      </c>
      <c r="K900" t="s">
        <v>18</v>
      </c>
    </row>
    <row r="901" spans="1:11">
      <c r="A901" t="s">
        <v>1146</v>
      </c>
      <c r="B901" t="s">
        <v>179</v>
      </c>
      <c r="C901" t="s">
        <v>70</v>
      </c>
      <c r="D901" t="s">
        <v>29</v>
      </c>
      <c r="E901">
        <v>799</v>
      </c>
      <c r="F901">
        <v>5</v>
      </c>
      <c r="G901">
        <v>3995</v>
      </c>
      <c r="H901" t="s">
        <v>23</v>
      </c>
      <c r="I901" t="s">
        <v>77</v>
      </c>
      <c r="J901" t="s">
        <v>25</v>
      </c>
      <c r="K901" t="s">
        <v>33</v>
      </c>
    </row>
    <row r="902" spans="1:11">
      <c r="A902" t="s">
        <v>1147</v>
      </c>
      <c r="B902" t="s">
        <v>189</v>
      </c>
      <c r="C902" t="s">
        <v>87</v>
      </c>
      <c r="D902" t="s">
        <v>88</v>
      </c>
      <c r="E902">
        <v>5499</v>
      </c>
      <c r="F902">
        <v>5</v>
      </c>
      <c r="G902">
        <v>27495</v>
      </c>
      <c r="H902" t="s">
        <v>66</v>
      </c>
      <c r="I902" t="s">
        <v>77</v>
      </c>
      <c r="J902" t="s">
        <v>38</v>
      </c>
      <c r="K902" t="s">
        <v>18</v>
      </c>
    </row>
    <row r="903" spans="1:11">
      <c r="A903" t="s">
        <v>1148</v>
      </c>
      <c r="B903" t="s">
        <v>161</v>
      </c>
      <c r="C903" t="s">
        <v>87</v>
      </c>
      <c r="D903" t="s">
        <v>88</v>
      </c>
      <c r="E903">
        <v>5499</v>
      </c>
      <c r="F903">
        <v>2</v>
      </c>
      <c r="G903">
        <v>10998</v>
      </c>
      <c r="H903" t="s">
        <v>102</v>
      </c>
      <c r="I903" t="s">
        <v>77</v>
      </c>
      <c r="J903" t="s">
        <v>90</v>
      </c>
      <c r="K903" t="s">
        <v>18</v>
      </c>
    </row>
    <row r="904" spans="1:11">
      <c r="A904" t="s">
        <v>1149</v>
      </c>
      <c r="B904" t="s">
        <v>291</v>
      </c>
      <c r="C904" t="s">
        <v>162</v>
      </c>
      <c r="D904" t="s">
        <v>29</v>
      </c>
      <c r="E904">
        <v>1799</v>
      </c>
      <c r="F904">
        <v>3</v>
      </c>
      <c r="G904">
        <v>5397</v>
      </c>
      <c r="H904" t="s">
        <v>15</v>
      </c>
      <c r="I904" t="s">
        <v>98</v>
      </c>
      <c r="J904" t="s">
        <v>25</v>
      </c>
      <c r="K904" t="s">
        <v>18</v>
      </c>
    </row>
    <row r="905" spans="1:11">
      <c r="A905" t="s">
        <v>1150</v>
      </c>
      <c r="B905" t="s">
        <v>748</v>
      </c>
      <c r="C905" t="s">
        <v>135</v>
      </c>
      <c r="D905" t="s">
        <v>29</v>
      </c>
      <c r="E905">
        <v>3999</v>
      </c>
      <c r="F905">
        <v>1</v>
      </c>
      <c r="G905">
        <v>3999</v>
      </c>
      <c r="H905" t="s">
        <v>102</v>
      </c>
      <c r="I905" t="s">
        <v>16</v>
      </c>
      <c r="J905" t="s">
        <v>90</v>
      </c>
      <c r="K905" t="s">
        <v>18</v>
      </c>
    </row>
    <row r="906" spans="1:11">
      <c r="A906" t="s">
        <v>1151</v>
      </c>
      <c r="B906" t="s">
        <v>431</v>
      </c>
      <c r="C906" t="s">
        <v>70</v>
      </c>
      <c r="D906" t="s">
        <v>29</v>
      </c>
      <c r="E906">
        <v>799</v>
      </c>
      <c r="F906">
        <v>3</v>
      </c>
      <c r="G906">
        <v>2397</v>
      </c>
      <c r="H906" t="s">
        <v>186</v>
      </c>
      <c r="I906" t="s">
        <v>63</v>
      </c>
      <c r="J906" t="s">
        <v>25</v>
      </c>
      <c r="K906" t="s">
        <v>18</v>
      </c>
    </row>
    <row r="907" spans="1:11">
      <c r="A907" t="s">
        <v>1152</v>
      </c>
      <c r="B907" t="s">
        <v>276</v>
      </c>
      <c r="C907" t="s">
        <v>80</v>
      </c>
      <c r="D907" t="s">
        <v>81</v>
      </c>
      <c r="E907">
        <v>299</v>
      </c>
      <c r="F907">
        <v>5</v>
      </c>
      <c r="G907">
        <v>1495</v>
      </c>
      <c r="H907" t="s">
        <v>95</v>
      </c>
      <c r="I907" t="s">
        <v>105</v>
      </c>
      <c r="J907" t="s">
        <v>90</v>
      </c>
      <c r="K907" t="s">
        <v>18</v>
      </c>
    </row>
    <row r="908" spans="1:11">
      <c r="A908" t="s">
        <v>1153</v>
      </c>
      <c r="B908" t="s">
        <v>42</v>
      </c>
      <c r="C908" t="s">
        <v>122</v>
      </c>
      <c r="D908" t="s">
        <v>29</v>
      </c>
      <c r="E908">
        <v>1299</v>
      </c>
      <c r="F908">
        <v>4</v>
      </c>
      <c r="G908">
        <v>5196</v>
      </c>
      <c r="H908" t="s">
        <v>89</v>
      </c>
      <c r="I908" t="s">
        <v>77</v>
      </c>
      <c r="J908" t="s">
        <v>32</v>
      </c>
      <c r="K908" t="s">
        <v>18</v>
      </c>
    </row>
    <row r="909" spans="1:11">
      <c r="A909" t="s">
        <v>1154</v>
      </c>
      <c r="B909" t="s">
        <v>745</v>
      </c>
      <c r="C909" t="s">
        <v>21</v>
      </c>
      <c r="D909" t="s">
        <v>22</v>
      </c>
      <c r="E909">
        <v>1499</v>
      </c>
      <c r="F909">
        <v>2</v>
      </c>
      <c r="G909">
        <v>2998</v>
      </c>
      <c r="H909" t="s">
        <v>119</v>
      </c>
      <c r="I909" t="s">
        <v>63</v>
      </c>
      <c r="J909" t="s">
        <v>90</v>
      </c>
      <c r="K909" t="s">
        <v>18</v>
      </c>
    </row>
    <row r="910" spans="1:11">
      <c r="A910" t="s">
        <v>1155</v>
      </c>
      <c r="B910" t="s">
        <v>316</v>
      </c>
      <c r="C910" t="s">
        <v>60</v>
      </c>
      <c r="D910" t="s">
        <v>61</v>
      </c>
      <c r="E910">
        <v>899</v>
      </c>
      <c r="F910">
        <v>4</v>
      </c>
      <c r="G910">
        <v>3596</v>
      </c>
      <c r="H910" t="s">
        <v>62</v>
      </c>
      <c r="I910" t="s">
        <v>125</v>
      </c>
      <c r="J910" t="s">
        <v>25</v>
      </c>
      <c r="K910" t="s">
        <v>18</v>
      </c>
    </row>
    <row r="911" spans="1:11">
      <c r="A911" t="s">
        <v>1156</v>
      </c>
      <c r="B911" t="s">
        <v>657</v>
      </c>
      <c r="C911" t="s">
        <v>28</v>
      </c>
      <c r="D911" t="s">
        <v>29</v>
      </c>
      <c r="E911">
        <v>1299</v>
      </c>
      <c r="F911">
        <v>4</v>
      </c>
      <c r="G911">
        <v>5196</v>
      </c>
      <c r="H911" t="s">
        <v>62</v>
      </c>
      <c r="I911" t="s">
        <v>63</v>
      </c>
      <c r="J911" t="s">
        <v>17</v>
      </c>
      <c r="K911" t="s">
        <v>18</v>
      </c>
    </row>
    <row r="912" spans="1:11">
      <c r="A912" t="s">
        <v>1157</v>
      </c>
      <c r="B912" t="s">
        <v>408</v>
      </c>
      <c r="C912" t="s">
        <v>70</v>
      </c>
      <c r="D912" t="s">
        <v>29</v>
      </c>
      <c r="E912">
        <v>799</v>
      </c>
      <c r="F912">
        <v>3</v>
      </c>
      <c r="G912">
        <v>2397</v>
      </c>
      <c r="H912" t="s">
        <v>43</v>
      </c>
      <c r="I912" t="s">
        <v>31</v>
      </c>
      <c r="J912" t="s">
        <v>17</v>
      </c>
      <c r="K912" t="s">
        <v>18</v>
      </c>
    </row>
    <row r="913" spans="1:11">
      <c r="A913" t="s">
        <v>1158</v>
      </c>
      <c r="B913" t="s">
        <v>300</v>
      </c>
      <c r="C913" t="s">
        <v>28</v>
      </c>
      <c r="D913" t="s">
        <v>29</v>
      </c>
      <c r="E913">
        <v>1299</v>
      </c>
      <c r="F913">
        <v>1</v>
      </c>
      <c r="G913">
        <v>1299</v>
      </c>
      <c r="H913" t="s">
        <v>37</v>
      </c>
      <c r="I913" t="s">
        <v>31</v>
      </c>
      <c r="J913" t="s">
        <v>90</v>
      </c>
      <c r="K913" t="s">
        <v>33</v>
      </c>
    </row>
    <row r="914" spans="1:11">
      <c r="A914" t="s">
        <v>1159</v>
      </c>
      <c r="B914" t="s">
        <v>1011</v>
      </c>
      <c r="C914" t="s">
        <v>135</v>
      </c>
      <c r="D914" t="s">
        <v>29</v>
      </c>
      <c r="E914">
        <v>3999</v>
      </c>
      <c r="F914">
        <v>4</v>
      </c>
      <c r="G914">
        <v>15996</v>
      </c>
      <c r="H914" t="s">
        <v>186</v>
      </c>
      <c r="I914" t="s">
        <v>77</v>
      </c>
      <c r="J914" t="s">
        <v>38</v>
      </c>
      <c r="K914" t="s">
        <v>18</v>
      </c>
    </row>
    <row r="915" spans="1:11">
      <c r="A915" t="s">
        <v>1160</v>
      </c>
      <c r="B915" t="s">
        <v>210</v>
      </c>
      <c r="C915" t="s">
        <v>28</v>
      </c>
      <c r="D915" t="s">
        <v>29</v>
      </c>
      <c r="E915">
        <v>1299</v>
      </c>
      <c r="F915">
        <v>4</v>
      </c>
      <c r="G915">
        <v>5196</v>
      </c>
      <c r="H915" t="s">
        <v>71</v>
      </c>
      <c r="I915" t="s">
        <v>105</v>
      </c>
      <c r="J915" t="s">
        <v>90</v>
      </c>
      <c r="K915" t="s">
        <v>18</v>
      </c>
    </row>
    <row r="916" spans="1:11">
      <c r="A916" t="s">
        <v>1161</v>
      </c>
      <c r="B916" t="s">
        <v>205</v>
      </c>
      <c r="C916" t="s">
        <v>135</v>
      </c>
      <c r="D916" t="s">
        <v>29</v>
      </c>
      <c r="E916">
        <v>3999</v>
      </c>
      <c r="F916">
        <v>5</v>
      </c>
      <c r="G916">
        <v>19995</v>
      </c>
      <c r="H916" t="s">
        <v>157</v>
      </c>
      <c r="I916" t="s">
        <v>44</v>
      </c>
      <c r="J916" t="s">
        <v>38</v>
      </c>
      <c r="K916" t="s">
        <v>18</v>
      </c>
    </row>
    <row r="917" spans="1:11">
      <c r="A917" t="s">
        <v>1162</v>
      </c>
      <c r="B917" t="s">
        <v>310</v>
      </c>
      <c r="C917" t="s">
        <v>28</v>
      </c>
      <c r="D917" t="s">
        <v>29</v>
      </c>
      <c r="E917">
        <v>1299</v>
      </c>
      <c r="F917">
        <v>3</v>
      </c>
      <c r="G917">
        <v>3897</v>
      </c>
      <c r="H917" t="s">
        <v>15</v>
      </c>
      <c r="I917" t="s">
        <v>67</v>
      </c>
      <c r="J917" t="s">
        <v>90</v>
      </c>
      <c r="K917" t="s">
        <v>18</v>
      </c>
    </row>
    <row r="918" spans="1:11">
      <c r="A918" t="s">
        <v>1163</v>
      </c>
      <c r="B918" t="s">
        <v>709</v>
      </c>
      <c r="C918" t="s">
        <v>48</v>
      </c>
      <c r="D918" t="s">
        <v>49</v>
      </c>
      <c r="E918">
        <v>699</v>
      </c>
      <c r="F918">
        <v>4</v>
      </c>
      <c r="G918">
        <v>2796</v>
      </c>
      <c r="H918" t="s">
        <v>62</v>
      </c>
      <c r="I918" t="s">
        <v>24</v>
      </c>
      <c r="J918" t="s">
        <v>17</v>
      </c>
      <c r="K918" t="s">
        <v>18</v>
      </c>
    </row>
    <row r="919" spans="1:11">
      <c r="A919" t="s">
        <v>1164</v>
      </c>
      <c r="B919" t="s">
        <v>402</v>
      </c>
      <c r="C919" t="s">
        <v>48</v>
      </c>
      <c r="D919" t="s">
        <v>49</v>
      </c>
      <c r="E919">
        <v>699</v>
      </c>
      <c r="F919">
        <v>5</v>
      </c>
      <c r="G919">
        <v>3495</v>
      </c>
      <c r="H919" t="s">
        <v>95</v>
      </c>
      <c r="I919" t="s">
        <v>31</v>
      </c>
      <c r="J919" t="s">
        <v>17</v>
      </c>
      <c r="K919" t="s">
        <v>18</v>
      </c>
    </row>
    <row r="920" spans="1:11">
      <c r="A920" t="s">
        <v>1165</v>
      </c>
      <c r="B920" t="s">
        <v>97</v>
      </c>
      <c r="C920" t="s">
        <v>70</v>
      </c>
      <c r="D920" t="s">
        <v>29</v>
      </c>
      <c r="E920">
        <v>799</v>
      </c>
      <c r="F920">
        <v>3</v>
      </c>
      <c r="G920">
        <v>2397</v>
      </c>
      <c r="H920" t="s">
        <v>37</v>
      </c>
      <c r="I920" t="s">
        <v>105</v>
      </c>
      <c r="J920" t="s">
        <v>32</v>
      </c>
      <c r="K920" t="s">
        <v>45</v>
      </c>
    </row>
    <row r="921" spans="1:11">
      <c r="A921" t="s">
        <v>1166</v>
      </c>
      <c r="B921" t="s">
        <v>237</v>
      </c>
      <c r="C921" t="s">
        <v>48</v>
      </c>
      <c r="D921" t="s">
        <v>49</v>
      </c>
      <c r="E921">
        <v>699</v>
      </c>
      <c r="F921">
        <v>1</v>
      </c>
      <c r="G921">
        <v>699</v>
      </c>
      <c r="H921" t="s">
        <v>43</v>
      </c>
      <c r="I921" t="s">
        <v>105</v>
      </c>
      <c r="J921" t="s">
        <v>90</v>
      </c>
      <c r="K921" t="s">
        <v>45</v>
      </c>
    </row>
    <row r="922" spans="1:11">
      <c r="A922" t="s">
        <v>1167</v>
      </c>
      <c r="B922" t="s">
        <v>65</v>
      </c>
      <c r="C922" t="s">
        <v>162</v>
      </c>
      <c r="D922" t="s">
        <v>29</v>
      </c>
      <c r="E922">
        <v>1799</v>
      </c>
      <c r="F922">
        <v>2</v>
      </c>
      <c r="G922">
        <v>3598</v>
      </c>
      <c r="H922" t="s">
        <v>43</v>
      </c>
      <c r="I922" t="s">
        <v>63</v>
      </c>
      <c r="J922" t="s">
        <v>17</v>
      </c>
      <c r="K922" t="s">
        <v>45</v>
      </c>
    </row>
    <row r="923" spans="1:11">
      <c r="A923" t="s">
        <v>1168</v>
      </c>
      <c r="B923" t="s">
        <v>59</v>
      </c>
      <c r="C923" t="s">
        <v>36</v>
      </c>
      <c r="D923" t="s">
        <v>29</v>
      </c>
      <c r="E923">
        <v>1999</v>
      </c>
      <c r="F923">
        <v>2</v>
      </c>
      <c r="G923">
        <v>3998</v>
      </c>
      <c r="H923" t="s">
        <v>119</v>
      </c>
      <c r="I923" t="s">
        <v>63</v>
      </c>
      <c r="J923" t="s">
        <v>17</v>
      </c>
      <c r="K923" t="s">
        <v>18</v>
      </c>
    </row>
    <row r="924" spans="1:11">
      <c r="A924" t="s">
        <v>1169</v>
      </c>
      <c r="B924" t="s">
        <v>167</v>
      </c>
      <c r="C924" t="s">
        <v>70</v>
      </c>
      <c r="D924" t="s">
        <v>29</v>
      </c>
      <c r="E924">
        <v>799</v>
      </c>
      <c r="F924">
        <v>3</v>
      </c>
      <c r="G924">
        <v>2397</v>
      </c>
      <c r="H924" t="s">
        <v>30</v>
      </c>
      <c r="I924" t="s">
        <v>63</v>
      </c>
      <c r="J924" t="s">
        <v>17</v>
      </c>
      <c r="K924" t="s">
        <v>18</v>
      </c>
    </row>
    <row r="925" spans="1:11">
      <c r="A925" t="s">
        <v>1170</v>
      </c>
      <c r="B925" t="s">
        <v>276</v>
      </c>
      <c r="C925" t="s">
        <v>76</v>
      </c>
      <c r="D925" t="s">
        <v>49</v>
      </c>
      <c r="E925">
        <v>1599</v>
      </c>
      <c r="F925">
        <v>1</v>
      </c>
      <c r="G925">
        <v>1599</v>
      </c>
      <c r="H925" t="s">
        <v>15</v>
      </c>
      <c r="I925" t="s">
        <v>77</v>
      </c>
      <c r="J925" t="s">
        <v>17</v>
      </c>
      <c r="K925" t="s">
        <v>18</v>
      </c>
    </row>
    <row r="926" spans="1:11">
      <c r="A926" t="s">
        <v>1171</v>
      </c>
      <c r="B926" t="s">
        <v>109</v>
      </c>
      <c r="C926" t="s">
        <v>28</v>
      </c>
      <c r="D926" t="s">
        <v>29</v>
      </c>
      <c r="E926">
        <v>1299</v>
      </c>
      <c r="F926">
        <v>1</v>
      </c>
      <c r="G926">
        <v>1299</v>
      </c>
      <c r="H926" t="s">
        <v>186</v>
      </c>
      <c r="I926" t="s">
        <v>24</v>
      </c>
      <c r="J926" t="s">
        <v>38</v>
      </c>
      <c r="K926" t="s">
        <v>45</v>
      </c>
    </row>
    <row r="927" spans="1:11">
      <c r="A927" t="s">
        <v>1172</v>
      </c>
      <c r="B927" t="s">
        <v>132</v>
      </c>
      <c r="C927" t="s">
        <v>21</v>
      </c>
      <c r="D927" t="s">
        <v>22</v>
      </c>
      <c r="E927">
        <v>1499</v>
      </c>
      <c r="F927">
        <v>5</v>
      </c>
      <c r="G927">
        <v>7495</v>
      </c>
      <c r="H927" t="s">
        <v>43</v>
      </c>
      <c r="I927" t="s">
        <v>31</v>
      </c>
      <c r="J927" t="s">
        <v>90</v>
      </c>
      <c r="K927" t="s">
        <v>45</v>
      </c>
    </row>
    <row r="928" spans="1:11">
      <c r="A928" t="s">
        <v>1173</v>
      </c>
      <c r="B928" t="s">
        <v>196</v>
      </c>
      <c r="C928" t="s">
        <v>28</v>
      </c>
      <c r="D928" t="s">
        <v>29</v>
      </c>
      <c r="E928">
        <v>1299</v>
      </c>
      <c r="F928">
        <v>5</v>
      </c>
      <c r="G928">
        <v>6495</v>
      </c>
      <c r="H928" t="s">
        <v>157</v>
      </c>
      <c r="I928" t="s">
        <v>105</v>
      </c>
      <c r="J928" t="s">
        <v>17</v>
      </c>
      <c r="K928" t="s">
        <v>33</v>
      </c>
    </row>
    <row r="929" spans="1:11">
      <c r="A929" t="s">
        <v>1174</v>
      </c>
      <c r="B929" t="s">
        <v>100</v>
      </c>
      <c r="C929" t="s">
        <v>122</v>
      </c>
      <c r="D929" t="s">
        <v>29</v>
      </c>
      <c r="E929">
        <v>1299</v>
      </c>
      <c r="F929">
        <v>1</v>
      </c>
      <c r="G929">
        <v>1299</v>
      </c>
      <c r="H929" t="s">
        <v>71</v>
      </c>
      <c r="I929" t="s">
        <v>24</v>
      </c>
      <c r="J929" t="s">
        <v>25</v>
      </c>
      <c r="K929" t="s">
        <v>45</v>
      </c>
    </row>
    <row r="930" spans="1:11">
      <c r="A930" t="s">
        <v>1175</v>
      </c>
      <c r="B930" t="s">
        <v>510</v>
      </c>
      <c r="C930" t="s">
        <v>80</v>
      </c>
      <c r="D930" t="s">
        <v>81</v>
      </c>
      <c r="E930">
        <v>299</v>
      </c>
      <c r="F930">
        <v>4</v>
      </c>
      <c r="G930">
        <v>1196</v>
      </c>
      <c r="H930" t="s">
        <v>157</v>
      </c>
      <c r="I930" t="s">
        <v>44</v>
      </c>
      <c r="J930" t="s">
        <v>90</v>
      </c>
      <c r="K930" t="s">
        <v>18</v>
      </c>
    </row>
    <row r="931" spans="1:11">
      <c r="A931" t="s">
        <v>1176</v>
      </c>
      <c r="B931" t="s">
        <v>20</v>
      </c>
      <c r="C931" t="s">
        <v>70</v>
      </c>
      <c r="D931" t="s">
        <v>29</v>
      </c>
      <c r="E931">
        <v>799</v>
      </c>
      <c r="F931">
        <v>5</v>
      </c>
      <c r="G931">
        <v>3995</v>
      </c>
      <c r="H931" t="s">
        <v>95</v>
      </c>
      <c r="I931" t="s">
        <v>24</v>
      </c>
      <c r="J931" t="s">
        <v>17</v>
      </c>
      <c r="K931" t="s">
        <v>18</v>
      </c>
    </row>
    <row r="932" spans="1:11">
      <c r="A932" t="s">
        <v>1177</v>
      </c>
      <c r="B932" t="s">
        <v>485</v>
      </c>
      <c r="C932" t="s">
        <v>21</v>
      </c>
      <c r="D932" t="s">
        <v>22</v>
      </c>
      <c r="E932">
        <v>1499</v>
      </c>
      <c r="F932">
        <v>4</v>
      </c>
      <c r="G932">
        <v>5996</v>
      </c>
      <c r="H932" t="s">
        <v>62</v>
      </c>
      <c r="I932" t="s">
        <v>31</v>
      </c>
      <c r="J932" t="s">
        <v>90</v>
      </c>
      <c r="K932" t="s">
        <v>18</v>
      </c>
    </row>
    <row r="933" spans="1:11">
      <c r="A933" t="s">
        <v>1178</v>
      </c>
      <c r="B933" t="s">
        <v>587</v>
      </c>
      <c r="C933" t="s">
        <v>13</v>
      </c>
      <c r="D933" t="s">
        <v>14</v>
      </c>
      <c r="E933">
        <v>2499</v>
      </c>
      <c r="F933">
        <v>3</v>
      </c>
      <c r="G933">
        <v>7497</v>
      </c>
      <c r="H933" t="s">
        <v>37</v>
      </c>
      <c r="I933" t="s">
        <v>105</v>
      </c>
      <c r="J933" t="s">
        <v>25</v>
      </c>
      <c r="K933" t="s">
        <v>45</v>
      </c>
    </row>
    <row r="934" spans="1:11">
      <c r="A934" t="s">
        <v>1179</v>
      </c>
      <c r="B934" t="s">
        <v>381</v>
      </c>
      <c r="C934" t="s">
        <v>21</v>
      </c>
      <c r="D934" t="s">
        <v>22</v>
      </c>
      <c r="E934">
        <v>1499</v>
      </c>
      <c r="F934">
        <v>4</v>
      </c>
      <c r="G934">
        <v>5996</v>
      </c>
      <c r="H934" t="s">
        <v>62</v>
      </c>
      <c r="I934" t="s">
        <v>44</v>
      </c>
      <c r="J934" t="s">
        <v>17</v>
      </c>
      <c r="K934" t="s">
        <v>45</v>
      </c>
    </row>
    <row r="935" spans="1:11">
      <c r="A935" t="s">
        <v>1180</v>
      </c>
      <c r="B935" t="s">
        <v>406</v>
      </c>
      <c r="C935" t="s">
        <v>135</v>
      </c>
      <c r="D935" t="s">
        <v>29</v>
      </c>
      <c r="E935">
        <v>3999</v>
      </c>
      <c r="F935">
        <v>2</v>
      </c>
      <c r="G935">
        <v>7998</v>
      </c>
      <c r="H935" t="s">
        <v>102</v>
      </c>
      <c r="I935" t="s">
        <v>105</v>
      </c>
      <c r="J935" t="s">
        <v>38</v>
      </c>
      <c r="K935" t="s">
        <v>18</v>
      </c>
    </row>
    <row r="936" spans="1:11">
      <c r="A936" t="s">
        <v>1181</v>
      </c>
      <c r="B936" t="s">
        <v>200</v>
      </c>
      <c r="C936" t="s">
        <v>48</v>
      </c>
      <c r="D936" t="s">
        <v>49</v>
      </c>
      <c r="E936">
        <v>699</v>
      </c>
      <c r="F936">
        <v>3</v>
      </c>
      <c r="G936">
        <v>2097</v>
      </c>
      <c r="H936" t="s">
        <v>71</v>
      </c>
      <c r="I936" t="s">
        <v>67</v>
      </c>
      <c r="J936" t="s">
        <v>17</v>
      </c>
      <c r="K936" t="s">
        <v>45</v>
      </c>
    </row>
    <row r="937" spans="1:11">
      <c r="A937" t="s">
        <v>1182</v>
      </c>
      <c r="B937" t="s">
        <v>231</v>
      </c>
      <c r="C937" t="s">
        <v>101</v>
      </c>
      <c r="D937" t="s">
        <v>81</v>
      </c>
      <c r="E937">
        <v>499</v>
      </c>
      <c r="F937">
        <v>3</v>
      </c>
      <c r="G937">
        <v>1497</v>
      </c>
      <c r="H937" t="s">
        <v>43</v>
      </c>
      <c r="I937" t="s">
        <v>67</v>
      </c>
      <c r="J937" t="s">
        <v>17</v>
      </c>
      <c r="K937" t="s">
        <v>18</v>
      </c>
    </row>
    <row r="938" spans="1:11">
      <c r="A938" t="s">
        <v>1183</v>
      </c>
      <c r="B938" t="s">
        <v>1125</v>
      </c>
      <c r="C938" t="s">
        <v>21</v>
      </c>
      <c r="D938" t="s">
        <v>22</v>
      </c>
      <c r="E938">
        <v>1499</v>
      </c>
      <c r="F938">
        <v>1</v>
      </c>
      <c r="G938">
        <v>1499</v>
      </c>
      <c r="H938" t="s">
        <v>30</v>
      </c>
      <c r="I938" t="s">
        <v>98</v>
      </c>
      <c r="J938" t="s">
        <v>17</v>
      </c>
      <c r="K938" t="s">
        <v>18</v>
      </c>
    </row>
    <row r="939" spans="1:11">
      <c r="A939" t="s">
        <v>1184</v>
      </c>
      <c r="B939" t="s">
        <v>1185</v>
      </c>
      <c r="C939" t="s">
        <v>52</v>
      </c>
      <c r="D939" t="s">
        <v>53</v>
      </c>
      <c r="E939">
        <v>199</v>
      </c>
      <c r="F939">
        <v>3</v>
      </c>
      <c r="G939">
        <v>597</v>
      </c>
      <c r="H939" t="s">
        <v>157</v>
      </c>
      <c r="I939" t="s">
        <v>16</v>
      </c>
      <c r="J939" t="s">
        <v>90</v>
      </c>
      <c r="K939" t="s">
        <v>18</v>
      </c>
    </row>
    <row r="940" spans="1:11">
      <c r="A940" t="s">
        <v>1186</v>
      </c>
      <c r="B940" t="s">
        <v>79</v>
      </c>
      <c r="C940" t="s">
        <v>60</v>
      </c>
      <c r="D940" t="s">
        <v>61</v>
      </c>
      <c r="E940">
        <v>899</v>
      </c>
      <c r="F940">
        <v>5</v>
      </c>
      <c r="G940">
        <v>4495</v>
      </c>
      <c r="H940" t="s">
        <v>37</v>
      </c>
      <c r="I940" t="s">
        <v>31</v>
      </c>
      <c r="J940" t="s">
        <v>32</v>
      </c>
      <c r="K940" t="s">
        <v>18</v>
      </c>
    </row>
    <row r="941" spans="1:11">
      <c r="A941" t="s">
        <v>1187</v>
      </c>
      <c r="B941" t="s">
        <v>508</v>
      </c>
      <c r="C941" t="s">
        <v>87</v>
      </c>
      <c r="D941" t="s">
        <v>88</v>
      </c>
      <c r="E941">
        <v>5499</v>
      </c>
      <c r="F941">
        <v>4</v>
      </c>
      <c r="G941">
        <v>21996</v>
      </c>
      <c r="H941" t="s">
        <v>56</v>
      </c>
      <c r="I941" t="s">
        <v>24</v>
      </c>
      <c r="J941" t="s">
        <v>32</v>
      </c>
      <c r="K941" t="s">
        <v>33</v>
      </c>
    </row>
    <row r="942" spans="1:11">
      <c r="A942" t="s">
        <v>1188</v>
      </c>
      <c r="B942" t="s">
        <v>198</v>
      </c>
      <c r="C942" t="s">
        <v>76</v>
      </c>
      <c r="D942" t="s">
        <v>49</v>
      </c>
      <c r="E942">
        <v>1599</v>
      </c>
      <c r="F942">
        <v>3</v>
      </c>
      <c r="G942">
        <v>4797</v>
      </c>
      <c r="H942" t="s">
        <v>157</v>
      </c>
      <c r="I942" t="s">
        <v>57</v>
      </c>
      <c r="J942" t="s">
        <v>25</v>
      </c>
      <c r="K942" t="s">
        <v>18</v>
      </c>
    </row>
    <row r="943" spans="1:11">
      <c r="A943" t="s">
        <v>1189</v>
      </c>
      <c r="B943" t="s">
        <v>340</v>
      </c>
      <c r="C943" t="s">
        <v>162</v>
      </c>
      <c r="D943" t="s">
        <v>29</v>
      </c>
      <c r="E943">
        <v>1799</v>
      </c>
      <c r="F943">
        <v>4</v>
      </c>
      <c r="G943">
        <v>7196</v>
      </c>
      <c r="H943" t="s">
        <v>186</v>
      </c>
      <c r="I943" t="s">
        <v>125</v>
      </c>
      <c r="J943" t="s">
        <v>32</v>
      </c>
      <c r="K943" t="s">
        <v>18</v>
      </c>
    </row>
    <row r="944" spans="1:11">
      <c r="A944" t="s">
        <v>1190</v>
      </c>
      <c r="B944" t="s">
        <v>100</v>
      </c>
      <c r="C944" t="s">
        <v>28</v>
      </c>
      <c r="D944" t="s">
        <v>29</v>
      </c>
      <c r="E944">
        <v>1299</v>
      </c>
      <c r="F944">
        <v>1</v>
      </c>
      <c r="G944">
        <v>1299</v>
      </c>
      <c r="H944" t="s">
        <v>186</v>
      </c>
      <c r="I944" t="s">
        <v>24</v>
      </c>
      <c r="J944" t="s">
        <v>17</v>
      </c>
      <c r="K944" t="s">
        <v>45</v>
      </c>
    </row>
    <row r="945" spans="1:11">
      <c r="A945" t="s">
        <v>1191</v>
      </c>
      <c r="B945" t="s">
        <v>340</v>
      </c>
      <c r="C945" t="s">
        <v>52</v>
      </c>
      <c r="D945" t="s">
        <v>53</v>
      </c>
      <c r="E945">
        <v>199</v>
      </c>
      <c r="F945">
        <v>4</v>
      </c>
      <c r="G945">
        <v>796</v>
      </c>
      <c r="H945" t="s">
        <v>102</v>
      </c>
      <c r="I945" t="s">
        <v>16</v>
      </c>
      <c r="J945" t="s">
        <v>90</v>
      </c>
      <c r="K945" t="s">
        <v>18</v>
      </c>
    </row>
    <row r="946" spans="1:11">
      <c r="A946" t="s">
        <v>1192</v>
      </c>
      <c r="B946" t="s">
        <v>389</v>
      </c>
      <c r="C946" t="s">
        <v>162</v>
      </c>
      <c r="D946" t="s">
        <v>29</v>
      </c>
      <c r="E946">
        <v>1799</v>
      </c>
      <c r="F946">
        <v>5</v>
      </c>
      <c r="G946">
        <v>8995</v>
      </c>
      <c r="H946" t="s">
        <v>66</v>
      </c>
      <c r="I946" t="s">
        <v>31</v>
      </c>
      <c r="J946" t="s">
        <v>38</v>
      </c>
      <c r="K946" t="s">
        <v>18</v>
      </c>
    </row>
    <row r="947" spans="1:11">
      <c r="A947" t="s">
        <v>1193</v>
      </c>
      <c r="B947" t="s">
        <v>748</v>
      </c>
      <c r="C947" t="s">
        <v>101</v>
      </c>
      <c r="D947" t="s">
        <v>81</v>
      </c>
      <c r="E947">
        <v>499</v>
      </c>
      <c r="F947">
        <v>5</v>
      </c>
      <c r="G947">
        <v>2495</v>
      </c>
      <c r="H947" t="s">
        <v>15</v>
      </c>
      <c r="I947" t="s">
        <v>98</v>
      </c>
      <c r="J947" t="s">
        <v>32</v>
      </c>
      <c r="K947" t="s">
        <v>18</v>
      </c>
    </row>
    <row r="948" spans="1:11">
      <c r="A948" t="s">
        <v>1194</v>
      </c>
      <c r="B948" t="s">
        <v>116</v>
      </c>
      <c r="C948" t="s">
        <v>21</v>
      </c>
      <c r="D948" t="s">
        <v>22</v>
      </c>
      <c r="E948">
        <v>1499</v>
      </c>
      <c r="F948">
        <v>1</v>
      </c>
      <c r="G948">
        <v>1499</v>
      </c>
      <c r="H948" t="s">
        <v>186</v>
      </c>
      <c r="I948" t="s">
        <v>16</v>
      </c>
      <c r="J948" t="s">
        <v>32</v>
      </c>
      <c r="K948" t="s">
        <v>18</v>
      </c>
    </row>
    <row r="949" spans="1:11">
      <c r="A949" t="s">
        <v>1195</v>
      </c>
      <c r="B949" t="s">
        <v>227</v>
      </c>
      <c r="C949" t="s">
        <v>122</v>
      </c>
      <c r="D949" t="s">
        <v>29</v>
      </c>
      <c r="E949">
        <v>1299</v>
      </c>
      <c r="F949">
        <v>4</v>
      </c>
      <c r="G949">
        <v>5196</v>
      </c>
      <c r="H949" t="s">
        <v>95</v>
      </c>
      <c r="I949" t="s">
        <v>57</v>
      </c>
      <c r="J949" t="s">
        <v>38</v>
      </c>
      <c r="K949" t="s">
        <v>33</v>
      </c>
    </row>
    <row r="950" spans="1:11">
      <c r="A950" t="s">
        <v>1196</v>
      </c>
      <c r="B950" t="s">
        <v>113</v>
      </c>
      <c r="C950" t="s">
        <v>70</v>
      </c>
      <c r="D950" t="s">
        <v>29</v>
      </c>
      <c r="E950">
        <v>799</v>
      </c>
      <c r="F950">
        <v>3</v>
      </c>
      <c r="G950">
        <v>2397</v>
      </c>
      <c r="H950" t="s">
        <v>30</v>
      </c>
      <c r="I950" t="s">
        <v>105</v>
      </c>
      <c r="J950" t="s">
        <v>17</v>
      </c>
      <c r="K950" t="s">
        <v>18</v>
      </c>
    </row>
    <row r="951" spans="1:11">
      <c r="A951" t="s">
        <v>1197</v>
      </c>
      <c r="B951" t="s">
        <v>40</v>
      </c>
      <c r="C951" t="s">
        <v>162</v>
      </c>
      <c r="D951" t="s">
        <v>29</v>
      </c>
      <c r="E951">
        <v>1799</v>
      </c>
      <c r="F951">
        <v>5</v>
      </c>
      <c r="G951">
        <v>8995</v>
      </c>
      <c r="H951" t="s">
        <v>186</v>
      </c>
      <c r="I951" t="s">
        <v>57</v>
      </c>
      <c r="J951" t="s">
        <v>25</v>
      </c>
      <c r="K951" t="s">
        <v>33</v>
      </c>
    </row>
    <row r="952" spans="1:11">
      <c r="A952" t="s">
        <v>1198</v>
      </c>
      <c r="B952" t="s">
        <v>431</v>
      </c>
      <c r="C952" t="s">
        <v>36</v>
      </c>
      <c r="D952" t="s">
        <v>29</v>
      </c>
      <c r="E952">
        <v>1999</v>
      </c>
      <c r="F952">
        <v>2</v>
      </c>
      <c r="G952">
        <v>3998</v>
      </c>
      <c r="H952" t="s">
        <v>62</v>
      </c>
      <c r="I952" t="s">
        <v>31</v>
      </c>
      <c r="J952" t="s">
        <v>38</v>
      </c>
      <c r="K952" t="s">
        <v>18</v>
      </c>
    </row>
    <row r="953" spans="1:11">
      <c r="A953" t="s">
        <v>1199</v>
      </c>
      <c r="B953" t="s">
        <v>73</v>
      </c>
      <c r="C953" t="s">
        <v>162</v>
      </c>
      <c r="D953" t="s">
        <v>29</v>
      </c>
      <c r="E953">
        <v>1799</v>
      </c>
      <c r="F953">
        <v>2</v>
      </c>
      <c r="G953">
        <v>3598</v>
      </c>
      <c r="H953" t="s">
        <v>15</v>
      </c>
      <c r="I953" t="s">
        <v>125</v>
      </c>
      <c r="J953" t="s">
        <v>17</v>
      </c>
      <c r="K953" t="s">
        <v>18</v>
      </c>
    </row>
    <row r="954" spans="1:11">
      <c r="A954" t="s">
        <v>1200</v>
      </c>
      <c r="B954" t="s">
        <v>281</v>
      </c>
      <c r="C954" t="s">
        <v>76</v>
      </c>
      <c r="D954" t="s">
        <v>49</v>
      </c>
      <c r="E954">
        <v>1599</v>
      </c>
      <c r="F954">
        <v>4</v>
      </c>
      <c r="G954">
        <v>6396</v>
      </c>
      <c r="H954" t="s">
        <v>71</v>
      </c>
      <c r="I954" t="s">
        <v>44</v>
      </c>
      <c r="J954" t="s">
        <v>32</v>
      </c>
      <c r="K954" t="s">
        <v>18</v>
      </c>
    </row>
    <row r="955" spans="1:11">
      <c r="A955" t="s">
        <v>1201</v>
      </c>
      <c r="B955" t="s">
        <v>139</v>
      </c>
      <c r="C955" t="s">
        <v>28</v>
      </c>
      <c r="D955" t="s">
        <v>29</v>
      </c>
      <c r="E955">
        <v>1299</v>
      </c>
      <c r="F955">
        <v>1</v>
      </c>
      <c r="G955">
        <v>1299</v>
      </c>
      <c r="H955" t="s">
        <v>30</v>
      </c>
      <c r="I955" t="s">
        <v>77</v>
      </c>
      <c r="J955" t="s">
        <v>25</v>
      </c>
      <c r="K955" t="s">
        <v>18</v>
      </c>
    </row>
    <row r="956" spans="1:11">
      <c r="A956" t="s">
        <v>1202</v>
      </c>
      <c r="B956" t="s">
        <v>175</v>
      </c>
      <c r="C956" t="s">
        <v>48</v>
      </c>
      <c r="D956" t="s">
        <v>49</v>
      </c>
      <c r="E956">
        <v>699</v>
      </c>
      <c r="F956">
        <v>3</v>
      </c>
      <c r="G956">
        <v>2097</v>
      </c>
      <c r="H956" t="s">
        <v>119</v>
      </c>
      <c r="I956" t="s">
        <v>67</v>
      </c>
      <c r="J956" t="s">
        <v>32</v>
      </c>
      <c r="K956" t="s">
        <v>45</v>
      </c>
    </row>
    <row r="957" spans="1:11">
      <c r="A957" t="s">
        <v>1203</v>
      </c>
      <c r="B957" t="s">
        <v>300</v>
      </c>
      <c r="C957" t="s">
        <v>101</v>
      </c>
      <c r="D957" t="s">
        <v>81</v>
      </c>
      <c r="E957">
        <v>499</v>
      </c>
      <c r="F957">
        <v>2</v>
      </c>
      <c r="G957">
        <v>998</v>
      </c>
      <c r="H957" t="s">
        <v>119</v>
      </c>
      <c r="I957" t="s">
        <v>63</v>
      </c>
      <c r="J957" t="s">
        <v>32</v>
      </c>
      <c r="K957" t="s">
        <v>45</v>
      </c>
    </row>
    <row r="958" spans="1:11">
      <c r="A958" t="s">
        <v>1204</v>
      </c>
      <c r="B958" t="s">
        <v>630</v>
      </c>
      <c r="C958" t="s">
        <v>70</v>
      </c>
      <c r="D958" t="s">
        <v>29</v>
      </c>
      <c r="E958">
        <v>799</v>
      </c>
      <c r="F958">
        <v>4</v>
      </c>
      <c r="G958">
        <v>3196</v>
      </c>
      <c r="H958" t="s">
        <v>66</v>
      </c>
      <c r="I958" t="s">
        <v>82</v>
      </c>
      <c r="J958" t="s">
        <v>38</v>
      </c>
      <c r="K958" t="s">
        <v>18</v>
      </c>
    </row>
    <row r="959" spans="1:11">
      <c r="A959" t="s">
        <v>1205</v>
      </c>
      <c r="B959" t="s">
        <v>203</v>
      </c>
      <c r="C959" t="s">
        <v>101</v>
      </c>
      <c r="D959" t="s">
        <v>81</v>
      </c>
      <c r="E959">
        <v>499</v>
      </c>
      <c r="F959">
        <v>4</v>
      </c>
      <c r="G959">
        <v>1996</v>
      </c>
      <c r="H959" t="s">
        <v>43</v>
      </c>
      <c r="I959" t="s">
        <v>67</v>
      </c>
      <c r="J959" t="s">
        <v>17</v>
      </c>
      <c r="K959" t="s">
        <v>33</v>
      </c>
    </row>
    <row r="960" spans="1:11">
      <c r="A960" t="s">
        <v>1206</v>
      </c>
      <c r="B960" t="s">
        <v>237</v>
      </c>
      <c r="C960" t="s">
        <v>122</v>
      </c>
      <c r="D960" t="s">
        <v>29</v>
      </c>
      <c r="E960">
        <v>1299</v>
      </c>
      <c r="F960">
        <v>4</v>
      </c>
      <c r="G960">
        <v>5196</v>
      </c>
      <c r="H960" t="s">
        <v>62</v>
      </c>
      <c r="I960" t="s">
        <v>63</v>
      </c>
      <c r="J960" t="s">
        <v>38</v>
      </c>
      <c r="K960" t="s">
        <v>45</v>
      </c>
    </row>
    <row r="961" spans="1:11">
      <c r="A961" t="s">
        <v>1207</v>
      </c>
      <c r="B961" t="s">
        <v>279</v>
      </c>
      <c r="C961" t="s">
        <v>21</v>
      </c>
      <c r="D961" t="s">
        <v>22</v>
      </c>
      <c r="E961">
        <v>1499</v>
      </c>
      <c r="F961">
        <v>4</v>
      </c>
      <c r="G961">
        <v>5996</v>
      </c>
      <c r="H961" t="s">
        <v>30</v>
      </c>
      <c r="I961" t="s">
        <v>63</v>
      </c>
      <c r="J961" t="s">
        <v>90</v>
      </c>
      <c r="K961" t="s">
        <v>18</v>
      </c>
    </row>
    <row r="962" spans="1:11">
      <c r="A962" t="s">
        <v>1208</v>
      </c>
      <c r="B962" t="s">
        <v>431</v>
      </c>
      <c r="C962" t="s">
        <v>76</v>
      </c>
      <c r="D962" t="s">
        <v>49</v>
      </c>
      <c r="E962">
        <v>1599</v>
      </c>
      <c r="F962">
        <v>3</v>
      </c>
      <c r="G962">
        <v>4797</v>
      </c>
      <c r="H962" t="s">
        <v>157</v>
      </c>
      <c r="I962" t="s">
        <v>77</v>
      </c>
      <c r="J962" t="s">
        <v>38</v>
      </c>
      <c r="K962" t="s">
        <v>18</v>
      </c>
    </row>
    <row r="963" spans="1:11">
      <c r="A963" t="s">
        <v>1209</v>
      </c>
      <c r="B963" t="s">
        <v>250</v>
      </c>
      <c r="C963" t="s">
        <v>135</v>
      </c>
      <c r="D963" t="s">
        <v>29</v>
      </c>
      <c r="E963">
        <v>3999</v>
      </c>
      <c r="F963">
        <v>1</v>
      </c>
      <c r="G963">
        <v>3999</v>
      </c>
      <c r="H963" t="s">
        <v>43</v>
      </c>
      <c r="I963" t="s">
        <v>67</v>
      </c>
      <c r="J963" t="s">
        <v>38</v>
      </c>
      <c r="K963" t="s">
        <v>18</v>
      </c>
    </row>
    <row r="964" spans="1:11">
      <c r="A964" t="s">
        <v>1210</v>
      </c>
      <c r="B964" t="s">
        <v>84</v>
      </c>
      <c r="C964" t="s">
        <v>28</v>
      </c>
      <c r="D964" t="s">
        <v>29</v>
      </c>
      <c r="E964">
        <v>1299</v>
      </c>
      <c r="F964">
        <v>2</v>
      </c>
      <c r="G964">
        <v>2598</v>
      </c>
      <c r="H964" t="s">
        <v>157</v>
      </c>
      <c r="I964" t="s">
        <v>16</v>
      </c>
      <c r="J964" t="s">
        <v>32</v>
      </c>
      <c r="K964" t="s">
        <v>45</v>
      </c>
    </row>
    <row r="965" spans="1:11">
      <c r="A965" t="s">
        <v>1211</v>
      </c>
      <c r="B965" t="s">
        <v>413</v>
      </c>
      <c r="C965" t="s">
        <v>21</v>
      </c>
      <c r="D965" t="s">
        <v>22</v>
      </c>
      <c r="E965">
        <v>1499</v>
      </c>
      <c r="F965">
        <v>1</v>
      </c>
      <c r="G965">
        <v>1499</v>
      </c>
      <c r="H965" t="s">
        <v>186</v>
      </c>
      <c r="I965" t="s">
        <v>125</v>
      </c>
      <c r="J965" t="s">
        <v>17</v>
      </c>
      <c r="K965" t="s">
        <v>18</v>
      </c>
    </row>
    <row r="966" spans="1:11">
      <c r="A966" t="s">
        <v>1212</v>
      </c>
      <c r="B966" t="s">
        <v>387</v>
      </c>
      <c r="C966" t="s">
        <v>162</v>
      </c>
      <c r="D966" t="s">
        <v>29</v>
      </c>
      <c r="E966">
        <v>1799</v>
      </c>
      <c r="F966">
        <v>5</v>
      </c>
      <c r="G966">
        <v>8995</v>
      </c>
      <c r="H966" t="s">
        <v>15</v>
      </c>
      <c r="I966" t="s">
        <v>24</v>
      </c>
      <c r="J966" t="s">
        <v>17</v>
      </c>
      <c r="K966" t="s">
        <v>18</v>
      </c>
    </row>
    <row r="967" spans="1:11">
      <c r="A967" t="s">
        <v>1213</v>
      </c>
      <c r="B967" t="s">
        <v>75</v>
      </c>
      <c r="C967" t="s">
        <v>52</v>
      </c>
      <c r="D967" t="s">
        <v>53</v>
      </c>
      <c r="E967">
        <v>199</v>
      </c>
      <c r="F967">
        <v>3</v>
      </c>
      <c r="G967">
        <v>597</v>
      </c>
      <c r="H967" t="s">
        <v>23</v>
      </c>
      <c r="I967" t="s">
        <v>63</v>
      </c>
      <c r="J967" t="s">
        <v>38</v>
      </c>
      <c r="K967" t="s">
        <v>18</v>
      </c>
    </row>
    <row r="968" spans="1:11">
      <c r="A968" t="s">
        <v>1214</v>
      </c>
      <c r="B968" t="s">
        <v>86</v>
      </c>
      <c r="C968" t="s">
        <v>80</v>
      </c>
      <c r="D968" t="s">
        <v>81</v>
      </c>
      <c r="E968">
        <v>299</v>
      </c>
      <c r="F968">
        <v>1</v>
      </c>
      <c r="G968">
        <v>299</v>
      </c>
      <c r="H968" t="s">
        <v>186</v>
      </c>
      <c r="I968" t="s">
        <v>67</v>
      </c>
      <c r="J968" t="s">
        <v>38</v>
      </c>
      <c r="K968" t="s">
        <v>18</v>
      </c>
    </row>
    <row r="969" spans="1:11">
      <c r="A969" t="s">
        <v>1215</v>
      </c>
      <c r="B969" t="s">
        <v>111</v>
      </c>
      <c r="C969" t="s">
        <v>76</v>
      </c>
      <c r="D969" t="s">
        <v>49</v>
      </c>
      <c r="E969">
        <v>1599</v>
      </c>
      <c r="F969">
        <v>4</v>
      </c>
      <c r="G969">
        <v>6396</v>
      </c>
      <c r="H969" t="s">
        <v>30</v>
      </c>
      <c r="I969" t="s">
        <v>125</v>
      </c>
      <c r="J969" t="s">
        <v>90</v>
      </c>
      <c r="K969" t="s">
        <v>45</v>
      </c>
    </row>
    <row r="970" spans="1:11">
      <c r="A970" t="s">
        <v>1216</v>
      </c>
      <c r="B970" t="s">
        <v>205</v>
      </c>
      <c r="C970" t="s">
        <v>48</v>
      </c>
      <c r="D970" t="s">
        <v>49</v>
      </c>
      <c r="E970">
        <v>699</v>
      </c>
      <c r="F970">
        <v>2</v>
      </c>
      <c r="G970">
        <v>1398</v>
      </c>
      <c r="H970" t="s">
        <v>102</v>
      </c>
      <c r="I970" t="s">
        <v>44</v>
      </c>
      <c r="J970" t="s">
        <v>38</v>
      </c>
      <c r="K970" t="s">
        <v>18</v>
      </c>
    </row>
    <row r="971" spans="1:11">
      <c r="A971" t="s">
        <v>1217</v>
      </c>
      <c r="B971" t="s">
        <v>84</v>
      </c>
      <c r="C971" t="s">
        <v>52</v>
      </c>
      <c r="D971" t="s">
        <v>53</v>
      </c>
      <c r="E971">
        <v>199</v>
      </c>
      <c r="F971">
        <v>5</v>
      </c>
      <c r="G971">
        <v>995</v>
      </c>
      <c r="H971" t="s">
        <v>56</v>
      </c>
      <c r="I971" t="s">
        <v>98</v>
      </c>
      <c r="J971" t="s">
        <v>38</v>
      </c>
      <c r="K971" t="s">
        <v>33</v>
      </c>
    </row>
    <row r="972" spans="1:11">
      <c r="A972" t="s">
        <v>1218</v>
      </c>
      <c r="B972" t="s">
        <v>925</v>
      </c>
      <c r="C972" t="s">
        <v>122</v>
      </c>
      <c r="D972" t="s">
        <v>29</v>
      </c>
      <c r="E972">
        <v>1299</v>
      </c>
      <c r="F972">
        <v>2</v>
      </c>
      <c r="G972">
        <v>2598</v>
      </c>
      <c r="H972" t="s">
        <v>62</v>
      </c>
      <c r="I972" t="s">
        <v>57</v>
      </c>
      <c r="J972" t="s">
        <v>25</v>
      </c>
      <c r="K972" t="s">
        <v>18</v>
      </c>
    </row>
    <row r="973" spans="1:11">
      <c r="A973" t="s">
        <v>1219</v>
      </c>
      <c r="B973" t="s">
        <v>434</v>
      </c>
      <c r="C973" t="s">
        <v>13</v>
      </c>
      <c r="D973" t="s">
        <v>14</v>
      </c>
      <c r="E973">
        <v>2499</v>
      </c>
      <c r="F973">
        <v>3</v>
      </c>
      <c r="G973">
        <v>7497</v>
      </c>
      <c r="H973" t="s">
        <v>71</v>
      </c>
      <c r="I973" t="s">
        <v>125</v>
      </c>
      <c r="J973" t="s">
        <v>25</v>
      </c>
      <c r="K973" t="s">
        <v>18</v>
      </c>
    </row>
    <row r="974" spans="1:11">
      <c r="A974" t="s">
        <v>1220</v>
      </c>
      <c r="B974" t="s">
        <v>408</v>
      </c>
      <c r="C974" t="s">
        <v>21</v>
      </c>
      <c r="D974" t="s">
        <v>22</v>
      </c>
      <c r="E974">
        <v>1499</v>
      </c>
      <c r="F974">
        <v>1</v>
      </c>
      <c r="G974">
        <v>1499</v>
      </c>
      <c r="H974" t="s">
        <v>37</v>
      </c>
      <c r="I974" t="s">
        <v>16</v>
      </c>
      <c r="J974" t="s">
        <v>17</v>
      </c>
      <c r="K974" t="s">
        <v>18</v>
      </c>
    </row>
    <row r="975" spans="1:11">
      <c r="A975" t="s">
        <v>1221</v>
      </c>
      <c r="B975" t="s">
        <v>134</v>
      </c>
      <c r="C975" t="s">
        <v>135</v>
      </c>
      <c r="D975" t="s">
        <v>29</v>
      </c>
      <c r="E975">
        <v>3999</v>
      </c>
      <c r="F975">
        <v>2</v>
      </c>
      <c r="G975">
        <v>7998</v>
      </c>
      <c r="H975" t="s">
        <v>23</v>
      </c>
      <c r="I975" t="s">
        <v>63</v>
      </c>
      <c r="J975" t="s">
        <v>32</v>
      </c>
      <c r="K975" t="s">
        <v>18</v>
      </c>
    </row>
    <row r="976" spans="1:11">
      <c r="A976" t="s">
        <v>1222</v>
      </c>
      <c r="B976" t="s">
        <v>217</v>
      </c>
      <c r="C976" t="s">
        <v>76</v>
      </c>
      <c r="D976" t="s">
        <v>49</v>
      </c>
      <c r="E976">
        <v>1599</v>
      </c>
      <c r="F976">
        <v>3</v>
      </c>
      <c r="G976">
        <v>4797</v>
      </c>
      <c r="H976" t="s">
        <v>23</v>
      </c>
      <c r="I976" t="s">
        <v>67</v>
      </c>
      <c r="J976" t="s">
        <v>17</v>
      </c>
      <c r="K976" t="s">
        <v>33</v>
      </c>
    </row>
    <row r="977" spans="1:11">
      <c r="A977" t="s">
        <v>1223</v>
      </c>
      <c r="B977" t="s">
        <v>314</v>
      </c>
      <c r="C977" t="s">
        <v>76</v>
      </c>
      <c r="D977" t="s">
        <v>49</v>
      </c>
      <c r="E977">
        <v>1599</v>
      </c>
      <c r="F977">
        <v>5</v>
      </c>
      <c r="G977">
        <v>7995</v>
      </c>
      <c r="H977" t="s">
        <v>23</v>
      </c>
      <c r="I977" t="s">
        <v>82</v>
      </c>
      <c r="J977" t="s">
        <v>25</v>
      </c>
      <c r="K977" t="s">
        <v>18</v>
      </c>
    </row>
    <row r="978" spans="1:11">
      <c r="A978" t="s">
        <v>1224</v>
      </c>
      <c r="B978" t="s">
        <v>84</v>
      </c>
      <c r="C978" t="s">
        <v>13</v>
      </c>
      <c r="D978" t="s">
        <v>14</v>
      </c>
      <c r="E978">
        <v>2499</v>
      </c>
      <c r="F978">
        <v>5</v>
      </c>
      <c r="G978">
        <v>12495</v>
      </c>
      <c r="H978" t="s">
        <v>186</v>
      </c>
      <c r="I978" t="s">
        <v>24</v>
      </c>
      <c r="J978" t="s">
        <v>32</v>
      </c>
      <c r="K978" t="s">
        <v>33</v>
      </c>
    </row>
    <row r="979" spans="1:11">
      <c r="A979" t="s">
        <v>1225</v>
      </c>
      <c r="B979" t="s">
        <v>73</v>
      </c>
      <c r="C979" t="s">
        <v>135</v>
      </c>
      <c r="D979" t="s">
        <v>29</v>
      </c>
      <c r="E979">
        <v>3999</v>
      </c>
      <c r="F979">
        <v>3</v>
      </c>
      <c r="G979">
        <v>11997</v>
      </c>
      <c r="H979" t="s">
        <v>30</v>
      </c>
      <c r="I979" t="s">
        <v>125</v>
      </c>
      <c r="J979" t="s">
        <v>25</v>
      </c>
      <c r="K979" t="s">
        <v>18</v>
      </c>
    </row>
    <row r="980" spans="1:11">
      <c r="A980" t="s">
        <v>1226</v>
      </c>
      <c r="B980" t="s">
        <v>508</v>
      </c>
      <c r="C980" t="s">
        <v>13</v>
      </c>
      <c r="D980" t="s">
        <v>14</v>
      </c>
      <c r="E980">
        <v>2499</v>
      </c>
      <c r="F980">
        <v>5</v>
      </c>
      <c r="G980">
        <v>12495</v>
      </c>
      <c r="H980" t="s">
        <v>66</v>
      </c>
      <c r="I980" t="s">
        <v>16</v>
      </c>
      <c r="J980" t="s">
        <v>17</v>
      </c>
      <c r="K980" t="s">
        <v>33</v>
      </c>
    </row>
    <row r="981" spans="1:11">
      <c r="A981" t="s">
        <v>1227</v>
      </c>
      <c r="B981" t="s">
        <v>269</v>
      </c>
      <c r="C981" t="s">
        <v>28</v>
      </c>
      <c r="D981" t="s">
        <v>29</v>
      </c>
      <c r="E981">
        <v>1299</v>
      </c>
      <c r="F981">
        <v>5</v>
      </c>
      <c r="G981">
        <v>6495</v>
      </c>
      <c r="H981" t="s">
        <v>66</v>
      </c>
      <c r="I981" t="s">
        <v>98</v>
      </c>
      <c r="J981" t="s">
        <v>38</v>
      </c>
      <c r="K981" t="s">
        <v>18</v>
      </c>
    </row>
    <row r="982" spans="1:11">
      <c r="A982" t="s">
        <v>1228</v>
      </c>
      <c r="B982" t="s">
        <v>925</v>
      </c>
      <c r="C982" t="s">
        <v>28</v>
      </c>
      <c r="D982" t="s">
        <v>29</v>
      </c>
      <c r="E982">
        <v>1299</v>
      </c>
      <c r="F982">
        <v>3</v>
      </c>
      <c r="G982">
        <v>3897</v>
      </c>
      <c r="H982" t="s">
        <v>71</v>
      </c>
      <c r="I982" t="s">
        <v>31</v>
      </c>
      <c r="J982" t="s">
        <v>90</v>
      </c>
      <c r="K982" t="s">
        <v>18</v>
      </c>
    </row>
    <row r="983" spans="1:11">
      <c r="A983" t="s">
        <v>1229</v>
      </c>
      <c r="B983" t="s">
        <v>27</v>
      </c>
      <c r="C983" t="s">
        <v>36</v>
      </c>
      <c r="D983" t="s">
        <v>29</v>
      </c>
      <c r="E983">
        <v>1999</v>
      </c>
      <c r="F983">
        <v>4</v>
      </c>
      <c r="G983">
        <v>7996</v>
      </c>
      <c r="H983" t="s">
        <v>102</v>
      </c>
      <c r="I983" t="s">
        <v>82</v>
      </c>
      <c r="J983" t="s">
        <v>38</v>
      </c>
      <c r="K983" t="s">
        <v>18</v>
      </c>
    </row>
    <row r="984" spans="1:11">
      <c r="A984" t="s">
        <v>1230</v>
      </c>
      <c r="B984" t="s">
        <v>303</v>
      </c>
      <c r="C984" t="s">
        <v>36</v>
      </c>
      <c r="D984" t="s">
        <v>29</v>
      </c>
      <c r="E984">
        <v>1999</v>
      </c>
      <c r="F984">
        <v>2</v>
      </c>
      <c r="G984">
        <v>3998</v>
      </c>
      <c r="H984" t="s">
        <v>23</v>
      </c>
      <c r="I984" t="s">
        <v>24</v>
      </c>
      <c r="J984" t="s">
        <v>38</v>
      </c>
      <c r="K984" t="s">
        <v>33</v>
      </c>
    </row>
    <row r="985" spans="1:11">
      <c r="A985" t="s">
        <v>1231</v>
      </c>
      <c r="B985" t="s">
        <v>243</v>
      </c>
      <c r="C985" t="s">
        <v>80</v>
      </c>
      <c r="D985" t="s">
        <v>81</v>
      </c>
      <c r="E985">
        <v>299</v>
      </c>
      <c r="F985">
        <v>4</v>
      </c>
      <c r="G985">
        <v>1196</v>
      </c>
      <c r="H985" t="s">
        <v>37</v>
      </c>
      <c r="I985" t="s">
        <v>24</v>
      </c>
      <c r="J985" t="s">
        <v>17</v>
      </c>
      <c r="K985" t="s">
        <v>18</v>
      </c>
    </row>
    <row r="986" spans="1:11">
      <c r="A986" t="s">
        <v>1232</v>
      </c>
      <c r="B986" t="s">
        <v>179</v>
      </c>
      <c r="C986" t="s">
        <v>48</v>
      </c>
      <c r="D986" t="s">
        <v>49</v>
      </c>
      <c r="E986">
        <v>699</v>
      </c>
      <c r="F986">
        <v>5</v>
      </c>
      <c r="G986">
        <v>3495</v>
      </c>
      <c r="H986" t="s">
        <v>89</v>
      </c>
      <c r="I986" t="s">
        <v>82</v>
      </c>
      <c r="J986" t="s">
        <v>17</v>
      </c>
      <c r="K986" t="s">
        <v>18</v>
      </c>
    </row>
    <row r="987" spans="1:11">
      <c r="A987" t="s">
        <v>1233</v>
      </c>
      <c r="B987" t="s">
        <v>413</v>
      </c>
      <c r="C987" t="s">
        <v>135</v>
      </c>
      <c r="D987" t="s">
        <v>29</v>
      </c>
      <c r="E987">
        <v>3999</v>
      </c>
      <c r="F987">
        <v>5</v>
      </c>
      <c r="G987">
        <v>19995</v>
      </c>
      <c r="H987" t="s">
        <v>89</v>
      </c>
      <c r="I987" t="s">
        <v>77</v>
      </c>
      <c r="J987" t="s">
        <v>17</v>
      </c>
      <c r="K987" t="s">
        <v>18</v>
      </c>
    </row>
    <row r="988" spans="1:11">
      <c r="A988" t="s">
        <v>1234</v>
      </c>
      <c r="B988" t="s">
        <v>316</v>
      </c>
      <c r="C988" t="s">
        <v>122</v>
      </c>
      <c r="D988" t="s">
        <v>29</v>
      </c>
      <c r="E988">
        <v>1299</v>
      </c>
      <c r="F988">
        <v>1</v>
      </c>
      <c r="G988">
        <v>1299</v>
      </c>
      <c r="H988" t="s">
        <v>15</v>
      </c>
      <c r="I988" t="s">
        <v>24</v>
      </c>
      <c r="J988" t="s">
        <v>17</v>
      </c>
      <c r="K988" t="s">
        <v>18</v>
      </c>
    </row>
    <row r="989" spans="1:11">
      <c r="A989" t="s">
        <v>1235</v>
      </c>
      <c r="B989" t="s">
        <v>297</v>
      </c>
      <c r="C989" t="s">
        <v>70</v>
      </c>
      <c r="D989" t="s">
        <v>29</v>
      </c>
      <c r="E989">
        <v>799</v>
      </c>
      <c r="F989">
        <v>4</v>
      </c>
      <c r="G989">
        <v>3196</v>
      </c>
      <c r="H989" t="s">
        <v>102</v>
      </c>
      <c r="I989" t="s">
        <v>67</v>
      </c>
      <c r="J989" t="s">
        <v>38</v>
      </c>
      <c r="K989" t="s">
        <v>18</v>
      </c>
    </row>
    <row r="990" spans="1:11">
      <c r="A990" t="s">
        <v>1236</v>
      </c>
      <c r="B990" t="s">
        <v>221</v>
      </c>
      <c r="C990" t="s">
        <v>80</v>
      </c>
      <c r="D990" t="s">
        <v>81</v>
      </c>
      <c r="E990">
        <v>299</v>
      </c>
      <c r="F990">
        <v>3</v>
      </c>
      <c r="G990">
        <v>897</v>
      </c>
      <c r="H990" t="s">
        <v>102</v>
      </c>
      <c r="I990" t="s">
        <v>16</v>
      </c>
      <c r="J990" t="s">
        <v>25</v>
      </c>
      <c r="K990" t="s">
        <v>18</v>
      </c>
    </row>
    <row r="991" spans="1:11">
      <c r="A991" t="s">
        <v>1237</v>
      </c>
      <c r="B991" t="s">
        <v>134</v>
      </c>
      <c r="C991" t="s">
        <v>76</v>
      </c>
      <c r="D991" t="s">
        <v>49</v>
      </c>
      <c r="E991">
        <v>1599</v>
      </c>
      <c r="F991">
        <v>2</v>
      </c>
      <c r="G991">
        <v>3198</v>
      </c>
      <c r="H991" t="s">
        <v>30</v>
      </c>
      <c r="I991" t="s">
        <v>16</v>
      </c>
      <c r="J991" t="s">
        <v>38</v>
      </c>
      <c r="K991" t="s">
        <v>18</v>
      </c>
    </row>
    <row r="992" spans="1:11">
      <c r="A992" t="s">
        <v>1238</v>
      </c>
      <c r="B992" t="s">
        <v>94</v>
      </c>
      <c r="C992" t="s">
        <v>101</v>
      </c>
      <c r="D992" t="s">
        <v>81</v>
      </c>
      <c r="E992">
        <v>499</v>
      </c>
      <c r="F992">
        <v>2</v>
      </c>
      <c r="G992">
        <v>998</v>
      </c>
      <c r="H992" t="s">
        <v>119</v>
      </c>
      <c r="I992" t="s">
        <v>16</v>
      </c>
      <c r="J992" t="s">
        <v>32</v>
      </c>
      <c r="K992" t="s">
        <v>18</v>
      </c>
    </row>
    <row r="993" spans="1:11">
      <c r="A993" t="s">
        <v>1239</v>
      </c>
      <c r="B993" t="s">
        <v>402</v>
      </c>
      <c r="C993" t="s">
        <v>48</v>
      </c>
      <c r="D993" t="s">
        <v>49</v>
      </c>
      <c r="E993">
        <v>699</v>
      </c>
      <c r="F993">
        <v>3</v>
      </c>
      <c r="G993">
        <v>2097</v>
      </c>
      <c r="H993" t="s">
        <v>66</v>
      </c>
      <c r="I993" t="s">
        <v>57</v>
      </c>
      <c r="J993" t="s">
        <v>17</v>
      </c>
      <c r="K993" t="s">
        <v>18</v>
      </c>
    </row>
    <row r="994" spans="1:11">
      <c r="A994" t="s">
        <v>1240</v>
      </c>
      <c r="B994" t="s">
        <v>255</v>
      </c>
      <c r="C994" t="s">
        <v>80</v>
      </c>
      <c r="D994" t="s">
        <v>81</v>
      </c>
      <c r="E994">
        <v>299</v>
      </c>
      <c r="F994">
        <v>5</v>
      </c>
      <c r="G994">
        <v>1495</v>
      </c>
      <c r="H994" t="s">
        <v>62</v>
      </c>
      <c r="I994" t="s">
        <v>16</v>
      </c>
      <c r="J994" t="s">
        <v>90</v>
      </c>
      <c r="K994" t="s">
        <v>18</v>
      </c>
    </row>
    <row r="995" spans="1:11">
      <c r="A995" t="s">
        <v>1241</v>
      </c>
      <c r="B995" t="s">
        <v>379</v>
      </c>
      <c r="C995" t="s">
        <v>13</v>
      </c>
      <c r="D995" t="s">
        <v>14</v>
      </c>
      <c r="E995">
        <v>2499</v>
      </c>
      <c r="F995">
        <v>2</v>
      </c>
      <c r="G995">
        <v>4998</v>
      </c>
      <c r="H995" t="s">
        <v>30</v>
      </c>
      <c r="I995" t="s">
        <v>63</v>
      </c>
      <c r="J995" t="s">
        <v>32</v>
      </c>
      <c r="K995" t="s">
        <v>18</v>
      </c>
    </row>
    <row r="996" spans="1:11">
      <c r="A996" t="s">
        <v>1242</v>
      </c>
      <c r="B996" t="s">
        <v>241</v>
      </c>
      <c r="C996" t="s">
        <v>135</v>
      </c>
      <c r="D996" t="s">
        <v>29</v>
      </c>
      <c r="E996">
        <v>3999</v>
      </c>
      <c r="F996">
        <v>4</v>
      </c>
      <c r="G996">
        <v>15996</v>
      </c>
      <c r="H996" t="s">
        <v>95</v>
      </c>
      <c r="I996" t="s">
        <v>57</v>
      </c>
      <c r="J996" t="s">
        <v>32</v>
      </c>
      <c r="K996" t="s">
        <v>33</v>
      </c>
    </row>
    <row r="997" spans="1:11">
      <c r="A997" t="s">
        <v>1243</v>
      </c>
      <c r="B997" t="s">
        <v>343</v>
      </c>
      <c r="C997" t="s">
        <v>135</v>
      </c>
      <c r="D997" t="s">
        <v>29</v>
      </c>
      <c r="E997">
        <v>3999</v>
      </c>
      <c r="F997">
        <v>3</v>
      </c>
      <c r="G997">
        <v>11997</v>
      </c>
      <c r="H997" t="s">
        <v>15</v>
      </c>
      <c r="I997" t="s">
        <v>57</v>
      </c>
      <c r="J997" t="s">
        <v>25</v>
      </c>
      <c r="K997" t="s">
        <v>18</v>
      </c>
    </row>
    <row r="998" spans="1:11">
      <c r="A998" t="s">
        <v>1244</v>
      </c>
      <c r="B998" t="s">
        <v>361</v>
      </c>
      <c r="C998" t="s">
        <v>87</v>
      </c>
      <c r="D998" t="s">
        <v>88</v>
      </c>
      <c r="E998">
        <v>5499</v>
      </c>
      <c r="F998">
        <v>2</v>
      </c>
      <c r="G998">
        <v>10998</v>
      </c>
      <c r="H998" t="s">
        <v>95</v>
      </c>
      <c r="I998" t="s">
        <v>77</v>
      </c>
      <c r="J998" t="s">
        <v>32</v>
      </c>
      <c r="K998" t="s">
        <v>18</v>
      </c>
    </row>
    <row r="999" spans="1:11">
      <c r="A999" t="s">
        <v>1245</v>
      </c>
      <c r="B999" t="s">
        <v>207</v>
      </c>
      <c r="C999" t="s">
        <v>101</v>
      </c>
      <c r="D999" t="s">
        <v>81</v>
      </c>
      <c r="E999">
        <v>499</v>
      </c>
      <c r="F999">
        <v>5</v>
      </c>
      <c r="G999">
        <v>2495</v>
      </c>
      <c r="H999" t="s">
        <v>186</v>
      </c>
      <c r="I999" t="s">
        <v>57</v>
      </c>
      <c r="J999" t="s">
        <v>17</v>
      </c>
      <c r="K999" t="s">
        <v>18</v>
      </c>
    </row>
    <row r="1000" spans="1:11">
      <c r="A1000" t="s">
        <v>1246</v>
      </c>
      <c r="B1000" t="s">
        <v>657</v>
      </c>
      <c r="C1000" t="s">
        <v>52</v>
      </c>
      <c r="D1000" t="s">
        <v>53</v>
      </c>
      <c r="E1000">
        <v>199</v>
      </c>
      <c r="F1000">
        <v>4</v>
      </c>
      <c r="G1000">
        <v>796</v>
      </c>
      <c r="H1000" t="s">
        <v>30</v>
      </c>
      <c r="I1000" t="s">
        <v>63</v>
      </c>
      <c r="J1000" t="s">
        <v>90</v>
      </c>
      <c r="K1000" t="s">
        <v>18</v>
      </c>
    </row>
    <row r="1001" spans="1:11">
      <c r="A1001" t="s">
        <v>1247</v>
      </c>
      <c r="B1001" t="s">
        <v>598</v>
      </c>
      <c r="C1001" t="s">
        <v>80</v>
      </c>
      <c r="D1001" t="s">
        <v>81</v>
      </c>
      <c r="E1001">
        <v>299</v>
      </c>
      <c r="F1001">
        <v>4</v>
      </c>
      <c r="G1001">
        <v>1196</v>
      </c>
      <c r="H1001" t="s">
        <v>66</v>
      </c>
      <c r="I1001" t="s">
        <v>82</v>
      </c>
      <c r="J1001" t="s">
        <v>90</v>
      </c>
      <c r="K1001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01"/>
  <sheetViews>
    <sheetView workbookViewId="0">
      <selection activeCell="S13" sqref="S13"/>
    </sheetView>
  </sheetViews>
  <sheetFormatPr defaultColWidth="9" defaultRowHeight="14.4"/>
  <cols>
    <col min="15" max="15" width="9.66666666666667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1248</v>
      </c>
      <c r="M1" t="s">
        <v>1249</v>
      </c>
    </row>
    <row r="2" spans="1:18">
      <c r="A2" t="s">
        <v>11</v>
      </c>
      <c r="B2" t="s">
        <v>12</v>
      </c>
      <c r="C2" t="s">
        <v>13</v>
      </c>
      <c r="D2" t="s">
        <v>14</v>
      </c>
      <c r="E2">
        <v>2499</v>
      </c>
      <c r="F2">
        <v>2</v>
      </c>
      <c r="G2">
        <v>4998</v>
      </c>
      <c r="H2" t="s">
        <v>15</v>
      </c>
      <c r="I2" t="s">
        <v>16</v>
      </c>
      <c r="J2" t="s">
        <v>17</v>
      </c>
      <c r="K2" t="s">
        <v>18</v>
      </c>
      <c r="L2" t="str">
        <f>TEXT(B2,"MMM")</f>
        <v>Apr</v>
      </c>
      <c r="M2" t="str">
        <f>TEXT(B2,"dddd")</f>
        <v>Thursday</v>
      </c>
    </row>
    <row r="3" spans="1:18">
      <c r="A3" t="s">
        <v>19</v>
      </c>
      <c r="B3" t="s">
        <v>20</v>
      </c>
      <c r="C3" t="s">
        <v>21</v>
      </c>
      <c r="D3" t="s">
        <v>22</v>
      </c>
      <c r="E3">
        <v>1499</v>
      </c>
      <c r="F3">
        <v>2</v>
      </c>
      <c r="G3">
        <v>2998</v>
      </c>
      <c r="H3" t="s">
        <v>23</v>
      </c>
      <c r="I3" t="s">
        <v>24</v>
      </c>
      <c r="J3" t="s">
        <v>25</v>
      </c>
      <c r="K3" t="s">
        <v>18</v>
      </c>
      <c r="L3" t="str">
        <f t="shared" ref="L3:L66" si="0">TEXT(B3,"MMM")</f>
        <v>Jun</v>
      </c>
      <c r="M3" t="str">
        <f t="shared" ref="M3:M66" si="1">TEXT(B3,"dddd")</f>
        <v>Friday</v>
      </c>
    </row>
    <row r="4" spans="1:18">
      <c r="A4" t="s">
        <v>26</v>
      </c>
      <c r="B4" t="s">
        <v>27</v>
      </c>
      <c r="C4" t="s">
        <v>28</v>
      </c>
      <c r="D4" t="s">
        <v>29</v>
      </c>
      <c r="E4">
        <v>1299</v>
      </c>
      <c r="F4">
        <v>1</v>
      </c>
      <c r="G4">
        <v>1299</v>
      </c>
      <c r="H4" t="s">
        <v>30</v>
      </c>
      <c r="I4" t="s">
        <v>31</v>
      </c>
      <c r="J4" t="s">
        <v>32</v>
      </c>
      <c r="K4" t="s">
        <v>33</v>
      </c>
      <c r="L4" t="str">
        <f t="shared" si="0"/>
        <v>Jun</v>
      </c>
      <c r="M4" t="str">
        <f t="shared" si="1"/>
        <v>Saturday</v>
      </c>
    </row>
    <row r="5" spans="1:18">
      <c r="A5" t="s">
        <v>34</v>
      </c>
      <c r="B5" t="s">
        <v>35</v>
      </c>
      <c r="C5" t="s">
        <v>36</v>
      </c>
      <c r="D5" t="s">
        <v>29</v>
      </c>
      <c r="E5">
        <v>1999</v>
      </c>
      <c r="F5">
        <v>4</v>
      </c>
      <c r="G5">
        <v>7996</v>
      </c>
      <c r="H5" t="s">
        <v>37</v>
      </c>
      <c r="I5" t="s">
        <v>31</v>
      </c>
      <c r="J5" t="s">
        <v>38</v>
      </c>
      <c r="K5" t="s">
        <v>18</v>
      </c>
      <c r="L5" t="str">
        <f t="shared" si="0"/>
        <v>Apr</v>
      </c>
      <c r="M5" t="str">
        <f t="shared" si="1"/>
        <v>Saturday</v>
      </c>
      <c r="P5">
        <f>SUM(G2:G1001)</f>
        <v>5146993</v>
      </c>
    </row>
    <row r="6" spans="1:18">
      <c r="A6" t="s">
        <v>39</v>
      </c>
      <c r="B6" t="s">
        <v>40</v>
      </c>
      <c r="C6" t="s">
        <v>21</v>
      </c>
      <c r="D6" t="s">
        <v>22</v>
      </c>
      <c r="E6">
        <v>1499</v>
      </c>
      <c r="F6">
        <v>1</v>
      </c>
      <c r="G6">
        <v>1499</v>
      </c>
      <c r="H6" t="s">
        <v>15</v>
      </c>
      <c r="I6" t="s">
        <v>16</v>
      </c>
      <c r="J6" t="s">
        <v>32</v>
      </c>
      <c r="K6" t="s">
        <v>18</v>
      </c>
      <c r="L6" t="str">
        <f t="shared" si="0"/>
        <v>Mar</v>
      </c>
      <c r="M6" t="str">
        <f t="shared" si="1"/>
        <v>Friday</v>
      </c>
    </row>
    <row r="7" spans="1:18">
      <c r="A7" t="s">
        <v>41</v>
      </c>
      <c r="B7" t="s">
        <v>42</v>
      </c>
      <c r="C7" t="s">
        <v>28</v>
      </c>
      <c r="D7" t="s">
        <v>29</v>
      </c>
      <c r="E7">
        <v>1299</v>
      </c>
      <c r="F7">
        <v>2</v>
      </c>
      <c r="G7">
        <v>2598</v>
      </c>
      <c r="H7" t="s">
        <v>43</v>
      </c>
      <c r="I7" t="s">
        <v>44</v>
      </c>
      <c r="J7" t="s">
        <v>17</v>
      </c>
      <c r="K7" t="s">
        <v>45</v>
      </c>
      <c r="L7" t="str">
        <f t="shared" si="0"/>
        <v>Mar</v>
      </c>
      <c r="M7" t="str">
        <f t="shared" si="1"/>
        <v>Wednesday</v>
      </c>
    </row>
    <row r="8" spans="1:18">
      <c r="A8" t="s">
        <v>46</v>
      </c>
      <c r="B8" t="s">
        <v>47</v>
      </c>
      <c r="C8" t="s">
        <v>48</v>
      </c>
      <c r="D8" t="s">
        <v>49</v>
      </c>
      <c r="E8">
        <v>699</v>
      </c>
      <c r="F8">
        <v>1</v>
      </c>
      <c r="G8">
        <v>699</v>
      </c>
      <c r="H8" t="s">
        <v>30</v>
      </c>
      <c r="I8" t="s">
        <v>44</v>
      </c>
      <c r="J8" t="s">
        <v>38</v>
      </c>
      <c r="K8" t="s">
        <v>33</v>
      </c>
      <c r="L8" t="str">
        <f t="shared" si="0"/>
        <v>Jun</v>
      </c>
      <c r="M8" t="str">
        <f t="shared" si="1"/>
        <v>Wednesday</v>
      </c>
    </row>
    <row r="9" spans="1:18">
      <c r="A9" t="s">
        <v>50</v>
      </c>
      <c r="B9" t="s">
        <v>51</v>
      </c>
      <c r="C9" t="s">
        <v>52</v>
      </c>
      <c r="D9" t="s">
        <v>53</v>
      </c>
      <c r="E9">
        <v>199</v>
      </c>
      <c r="F9">
        <v>2</v>
      </c>
      <c r="G9">
        <v>398</v>
      </c>
      <c r="H9" t="s">
        <v>23</v>
      </c>
      <c r="I9" t="s">
        <v>31</v>
      </c>
      <c r="J9" t="s">
        <v>38</v>
      </c>
      <c r="K9" t="s">
        <v>33</v>
      </c>
      <c r="L9" t="str">
        <f t="shared" si="0"/>
        <v>May</v>
      </c>
      <c r="M9" t="str">
        <f t="shared" si="1"/>
        <v>Monday</v>
      </c>
      <c r="P9">
        <f>COUNTIF(A2:A1002,"ORD*")</f>
        <v>1000</v>
      </c>
    </row>
    <row r="10" spans="1:18">
      <c r="A10" t="s">
        <v>54</v>
      </c>
      <c r="B10" t="s">
        <v>55</v>
      </c>
      <c r="C10" t="s">
        <v>28</v>
      </c>
      <c r="D10" t="s">
        <v>29</v>
      </c>
      <c r="E10">
        <v>1299</v>
      </c>
      <c r="F10">
        <v>4</v>
      </c>
      <c r="G10">
        <v>5196</v>
      </c>
      <c r="H10" t="s">
        <v>56</v>
      </c>
      <c r="I10" t="s">
        <v>57</v>
      </c>
      <c r="J10" t="s">
        <v>38</v>
      </c>
      <c r="K10" t="s">
        <v>18</v>
      </c>
      <c r="L10" t="str">
        <f t="shared" si="0"/>
        <v>Mar</v>
      </c>
      <c r="M10" t="str">
        <f t="shared" si="1"/>
        <v>Sunday</v>
      </c>
    </row>
    <row r="11" spans="1:18">
      <c r="A11" t="s">
        <v>58</v>
      </c>
      <c r="B11" t="s">
        <v>59</v>
      </c>
      <c r="C11" t="s">
        <v>60</v>
      </c>
      <c r="D11" t="s">
        <v>61</v>
      </c>
      <c r="E11">
        <v>899</v>
      </c>
      <c r="F11">
        <v>2</v>
      </c>
      <c r="G11">
        <v>1798</v>
      </c>
      <c r="H11" t="s">
        <v>62</v>
      </c>
      <c r="I11" t="s">
        <v>63</v>
      </c>
      <c r="J11" t="s">
        <v>32</v>
      </c>
      <c r="K11" t="s">
        <v>18</v>
      </c>
      <c r="L11" t="str">
        <f t="shared" si="0"/>
        <v>Apr</v>
      </c>
      <c r="M11" t="str">
        <f t="shared" si="1"/>
        <v>Monday</v>
      </c>
    </row>
    <row r="12" spans="1:18">
      <c r="A12" t="s">
        <v>64</v>
      </c>
      <c r="B12" t="s">
        <v>65</v>
      </c>
      <c r="C12" t="s">
        <v>28</v>
      </c>
      <c r="D12" t="s">
        <v>29</v>
      </c>
      <c r="E12">
        <v>1299</v>
      </c>
      <c r="F12">
        <v>2</v>
      </c>
      <c r="G12">
        <v>2598</v>
      </c>
      <c r="H12" t="s">
        <v>66</v>
      </c>
      <c r="I12" t="s">
        <v>67</v>
      </c>
      <c r="J12" t="s">
        <v>32</v>
      </c>
      <c r="K12" t="s">
        <v>18</v>
      </c>
      <c r="L12" t="str">
        <f t="shared" si="0"/>
        <v>Jan</v>
      </c>
      <c r="M12" t="str">
        <f t="shared" si="1"/>
        <v>Thursday</v>
      </c>
      <c r="O12">
        <f>SUM(F2:F1001)</f>
        <v>3007</v>
      </c>
    </row>
    <row r="13" spans="1:18">
      <c r="A13" t="s">
        <v>68</v>
      </c>
      <c r="B13" t="s">
        <v>69</v>
      </c>
      <c r="C13" t="s">
        <v>70</v>
      </c>
      <c r="D13" t="s">
        <v>29</v>
      </c>
      <c r="E13">
        <v>799</v>
      </c>
      <c r="F13">
        <v>2</v>
      </c>
      <c r="G13">
        <v>1598</v>
      </c>
      <c r="H13" t="s">
        <v>71</v>
      </c>
      <c r="I13" t="s">
        <v>24</v>
      </c>
      <c r="J13" t="s">
        <v>38</v>
      </c>
      <c r="K13" t="s">
        <v>45</v>
      </c>
      <c r="L13" t="str">
        <f t="shared" si="0"/>
        <v>Apr</v>
      </c>
      <c r="M13" t="str">
        <f t="shared" si="1"/>
        <v>Wednesday</v>
      </c>
      <c r="R13">
        <f>COUNTIF(K2:K1001,"Delivered")/COUNTA(K2:K1001)</f>
        <v>0.681</v>
      </c>
    </row>
    <row r="14" spans="1:18">
      <c r="A14" t="s">
        <v>72</v>
      </c>
      <c r="B14" t="s">
        <v>73</v>
      </c>
      <c r="C14" t="s">
        <v>21</v>
      </c>
      <c r="D14" t="s">
        <v>22</v>
      </c>
      <c r="E14">
        <v>1499</v>
      </c>
      <c r="F14">
        <v>1</v>
      </c>
      <c r="G14">
        <v>1499</v>
      </c>
      <c r="H14" t="s">
        <v>15</v>
      </c>
      <c r="I14" t="s">
        <v>24</v>
      </c>
      <c r="J14" t="s">
        <v>25</v>
      </c>
      <c r="K14" t="s">
        <v>45</v>
      </c>
      <c r="L14" t="str">
        <f t="shared" si="0"/>
        <v>Feb</v>
      </c>
      <c r="M14" t="str">
        <f t="shared" si="1"/>
        <v>Thursday</v>
      </c>
    </row>
    <row r="15" spans="1:18">
      <c r="A15" t="s">
        <v>74</v>
      </c>
      <c r="B15" t="s">
        <v>75</v>
      </c>
      <c r="C15" t="s">
        <v>76</v>
      </c>
      <c r="D15" t="s">
        <v>49</v>
      </c>
      <c r="E15">
        <v>1599</v>
      </c>
      <c r="F15">
        <v>2</v>
      </c>
      <c r="G15">
        <v>3198</v>
      </c>
      <c r="H15" t="s">
        <v>15</v>
      </c>
      <c r="I15" t="s">
        <v>77</v>
      </c>
      <c r="J15" t="s">
        <v>32</v>
      </c>
      <c r="K15" t="s">
        <v>33</v>
      </c>
      <c r="L15" t="str">
        <f t="shared" si="0"/>
        <v>Jun</v>
      </c>
      <c r="M15" t="str">
        <f t="shared" si="1"/>
        <v>Thursday</v>
      </c>
    </row>
    <row r="16" spans="1:18">
      <c r="A16" t="s">
        <v>78</v>
      </c>
      <c r="B16" t="s">
        <v>79</v>
      </c>
      <c r="C16" t="s">
        <v>80</v>
      </c>
      <c r="D16" t="s">
        <v>81</v>
      </c>
      <c r="E16">
        <v>299</v>
      </c>
      <c r="F16">
        <v>5</v>
      </c>
      <c r="G16">
        <v>1495</v>
      </c>
      <c r="H16" t="s">
        <v>71</v>
      </c>
      <c r="I16" t="s">
        <v>82</v>
      </c>
      <c r="J16" t="s">
        <v>17</v>
      </c>
      <c r="K16" t="s">
        <v>45</v>
      </c>
      <c r="L16" t="str">
        <f t="shared" si="0"/>
        <v>Jan</v>
      </c>
      <c r="M16" t="str">
        <f t="shared" si="1"/>
        <v>Wednesday</v>
      </c>
      <c r="O16">
        <f>AVERAGE(G2:G1001)</f>
        <v>5146.993</v>
      </c>
    </row>
    <row r="17" spans="1:13">
      <c r="A17" t="s">
        <v>83</v>
      </c>
      <c r="B17" t="s">
        <v>84</v>
      </c>
      <c r="C17" t="s">
        <v>28</v>
      </c>
      <c r="D17" t="s">
        <v>29</v>
      </c>
      <c r="E17">
        <v>1299</v>
      </c>
      <c r="F17">
        <v>5</v>
      </c>
      <c r="G17">
        <v>6495</v>
      </c>
      <c r="H17" t="s">
        <v>71</v>
      </c>
      <c r="I17" t="s">
        <v>63</v>
      </c>
      <c r="J17" t="s">
        <v>25</v>
      </c>
      <c r="K17" t="s">
        <v>18</v>
      </c>
      <c r="L17" t="str">
        <f t="shared" si="0"/>
        <v>Mar</v>
      </c>
      <c r="M17" t="str">
        <f t="shared" si="1"/>
        <v>Saturday</v>
      </c>
    </row>
    <row r="18" spans="1:13">
      <c r="A18" t="s">
        <v>85</v>
      </c>
      <c r="B18" t="s">
        <v>86</v>
      </c>
      <c r="C18" t="s">
        <v>87</v>
      </c>
      <c r="D18" t="s">
        <v>88</v>
      </c>
      <c r="E18">
        <v>5499</v>
      </c>
      <c r="F18">
        <v>5</v>
      </c>
      <c r="G18">
        <v>27495</v>
      </c>
      <c r="H18" t="s">
        <v>89</v>
      </c>
      <c r="I18" t="s">
        <v>57</v>
      </c>
      <c r="J18" t="s">
        <v>90</v>
      </c>
      <c r="K18" t="s">
        <v>18</v>
      </c>
      <c r="L18" t="str">
        <f t="shared" si="0"/>
        <v>May</v>
      </c>
      <c r="M18" t="str">
        <f t="shared" si="1"/>
        <v>Friday</v>
      </c>
    </row>
    <row r="19" spans="1:13">
      <c r="A19" t="s">
        <v>91</v>
      </c>
      <c r="B19" t="s">
        <v>92</v>
      </c>
      <c r="C19" t="s">
        <v>48</v>
      </c>
      <c r="D19" t="s">
        <v>49</v>
      </c>
      <c r="E19">
        <v>699</v>
      </c>
      <c r="F19">
        <v>1</v>
      </c>
      <c r="G19">
        <v>699</v>
      </c>
      <c r="H19" t="s">
        <v>30</v>
      </c>
      <c r="I19" t="s">
        <v>16</v>
      </c>
      <c r="J19" t="s">
        <v>90</v>
      </c>
      <c r="K19" t="s">
        <v>18</v>
      </c>
      <c r="L19" t="str">
        <f t="shared" si="0"/>
        <v>Feb</v>
      </c>
      <c r="M19" t="str">
        <f t="shared" si="1"/>
        <v>Saturday</v>
      </c>
    </row>
    <row r="20" spans="1:13">
      <c r="A20" t="s">
        <v>93</v>
      </c>
      <c r="B20" t="s">
        <v>94</v>
      </c>
      <c r="C20" t="s">
        <v>13</v>
      </c>
      <c r="D20" t="s">
        <v>14</v>
      </c>
      <c r="E20">
        <v>2499</v>
      </c>
      <c r="F20">
        <v>4</v>
      </c>
      <c r="G20">
        <v>9996</v>
      </c>
      <c r="H20" t="s">
        <v>95</v>
      </c>
      <c r="I20" t="s">
        <v>63</v>
      </c>
      <c r="J20" t="s">
        <v>25</v>
      </c>
      <c r="K20" t="s">
        <v>18</v>
      </c>
      <c r="L20" t="str">
        <f t="shared" si="0"/>
        <v>Jun</v>
      </c>
      <c r="M20" t="str">
        <f t="shared" si="1"/>
        <v>Saturday</v>
      </c>
    </row>
    <row r="21" spans="1:13">
      <c r="A21" t="s">
        <v>96</v>
      </c>
      <c r="B21" t="s">
        <v>97</v>
      </c>
      <c r="C21" t="s">
        <v>28</v>
      </c>
      <c r="D21" t="s">
        <v>29</v>
      </c>
      <c r="E21">
        <v>1299</v>
      </c>
      <c r="F21">
        <v>5</v>
      </c>
      <c r="G21">
        <v>6495</v>
      </c>
      <c r="H21" t="s">
        <v>62</v>
      </c>
      <c r="I21" t="s">
        <v>98</v>
      </c>
      <c r="J21" t="s">
        <v>17</v>
      </c>
      <c r="K21" t="s">
        <v>18</v>
      </c>
      <c r="L21" t="str">
        <f t="shared" si="0"/>
        <v>Mar</v>
      </c>
      <c r="M21" t="str">
        <f t="shared" si="1"/>
        <v>Sunday</v>
      </c>
    </row>
    <row r="22" spans="1:13">
      <c r="A22" t="s">
        <v>99</v>
      </c>
      <c r="B22" t="s">
        <v>100</v>
      </c>
      <c r="C22" t="s">
        <v>101</v>
      </c>
      <c r="D22" t="s">
        <v>81</v>
      </c>
      <c r="E22">
        <v>499</v>
      </c>
      <c r="F22">
        <v>2</v>
      </c>
      <c r="G22">
        <v>998</v>
      </c>
      <c r="H22" t="s">
        <v>102</v>
      </c>
      <c r="I22" t="s">
        <v>16</v>
      </c>
      <c r="J22" t="s">
        <v>38</v>
      </c>
      <c r="K22" t="s">
        <v>18</v>
      </c>
      <c r="L22" t="str">
        <f t="shared" si="0"/>
        <v>Jan</v>
      </c>
      <c r="M22" t="str">
        <f t="shared" si="1"/>
        <v>Friday</v>
      </c>
    </row>
    <row r="23" spans="1:13">
      <c r="A23" t="s">
        <v>103</v>
      </c>
      <c r="B23" t="s">
        <v>104</v>
      </c>
      <c r="C23" t="s">
        <v>80</v>
      </c>
      <c r="D23" t="s">
        <v>81</v>
      </c>
      <c r="E23">
        <v>299</v>
      </c>
      <c r="F23">
        <v>1</v>
      </c>
      <c r="G23">
        <v>299</v>
      </c>
      <c r="H23" t="s">
        <v>15</v>
      </c>
      <c r="I23" t="s">
        <v>105</v>
      </c>
      <c r="J23" t="s">
        <v>90</v>
      </c>
      <c r="K23" t="s">
        <v>33</v>
      </c>
      <c r="L23" t="str">
        <f t="shared" si="0"/>
        <v>Jun</v>
      </c>
      <c r="M23" t="str">
        <f t="shared" si="1"/>
        <v>Monday</v>
      </c>
    </row>
    <row r="24" spans="1:13">
      <c r="A24" t="s">
        <v>106</v>
      </c>
      <c r="B24" t="s">
        <v>107</v>
      </c>
      <c r="C24" t="s">
        <v>13</v>
      </c>
      <c r="D24" t="s">
        <v>14</v>
      </c>
      <c r="E24">
        <v>2499</v>
      </c>
      <c r="F24">
        <v>2</v>
      </c>
      <c r="G24">
        <v>4998</v>
      </c>
      <c r="H24" t="s">
        <v>62</v>
      </c>
      <c r="I24" t="s">
        <v>57</v>
      </c>
      <c r="J24" t="s">
        <v>32</v>
      </c>
      <c r="K24" t="s">
        <v>45</v>
      </c>
      <c r="L24" t="str">
        <f t="shared" si="0"/>
        <v>May</v>
      </c>
      <c r="M24" t="str">
        <f t="shared" si="1"/>
        <v>Saturday</v>
      </c>
    </row>
    <row r="25" spans="1:13">
      <c r="A25" t="s">
        <v>108</v>
      </c>
      <c r="B25" t="s">
        <v>109</v>
      </c>
      <c r="C25" t="s">
        <v>101</v>
      </c>
      <c r="D25" t="s">
        <v>81</v>
      </c>
      <c r="E25">
        <v>499</v>
      </c>
      <c r="F25">
        <v>2</v>
      </c>
      <c r="G25">
        <v>998</v>
      </c>
      <c r="H25" t="s">
        <v>37</v>
      </c>
      <c r="I25" t="s">
        <v>98</v>
      </c>
      <c r="J25" t="s">
        <v>25</v>
      </c>
      <c r="K25" t="s">
        <v>45</v>
      </c>
      <c r="L25" t="str">
        <f t="shared" si="0"/>
        <v>May</v>
      </c>
      <c r="M25" t="str">
        <f t="shared" si="1"/>
        <v>Friday</v>
      </c>
    </row>
    <row r="26" spans="1:13">
      <c r="A26" t="s">
        <v>110</v>
      </c>
      <c r="B26" t="s">
        <v>111</v>
      </c>
      <c r="C26" t="s">
        <v>21</v>
      </c>
      <c r="D26" t="s">
        <v>22</v>
      </c>
      <c r="E26">
        <v>1499</v>
      </c>
      <c r="F26">
        <v>2</v>
      </c>
      <c r="G26">
        <v>2998</v>
      </c>
      <c r="H26" t="s">
        <v>62</v>
      </c>
      <c r="I26" t="s">
        <v>77</v>
      </c>
      <c r="J26" t="s">
        <v>38</v>
      </c>
      <c r="K26" t="s">
        <v>18</v>
      </c>
      <c r="L26" t="str">
        <f t="shared" si="0"/>
        <v>Apr</v>
      </c>
      <c r="M26" t="str">
        <f t="shared" si="1"/>
        <v>Sunday</v>
      </c>
    </row>
    <row r="27" spans="1:13">
      <c r="A27" t="s">
        <v>112</v>
      </c>
      <c r="B27" t="s">
        <v>113</v>
      </c>
      <c r="C27" t="s">
        <v>80</v>
      </c>
      <c r="D27" t="s">
        <v>81</v>
      </c>
      <c r="E27">
        <v>299</v>
      </c>
      <c r="F27">
        <v>5</v>
      </c>
      <c r="G27">
        <v>1495</v>
      </c>
      <c r="H27" t="s">
        <v>37</v>
      </c>
      <c r="I27" t="s">
        <v>77</v>
      </c>
      <c r="J27" t="s">
        <v>32</v>
      </c>
      <c r="K27" t="s">
        <v>45</v>
      </c>
      <c r="L27" t="str">
        <f t="shared" si="0"/>
        <v>May</v>
      </c>
      <c r="M27" t="str">
        <f t="shared" si="1"/>
        <v>Monday</v>
      </c>
    </row>
    <row r="28" spans="1:13">
      <c r="A28" t="s">
        <v>114</v>
      </c>
      <c r="B28" t="s">
        <v>84</v>
      </c>
      <c r="C28" t="s">
        <v>36</v>
      </c>
      <c r="D28" t="s">
        <v>29</v>
      </c>
      <c r="E28">
        <v>1999</v>
      </c>
      <c r="F28">
        <v>2</v>
      </c>
      <c r="G28">
        <v>3998</v>
      </c>
      <c r="H28" t="s">
        <v>62</v>
      </c>
      <c r="I28" t="s">
        <v>16</v>
      </c>
      <c r="J28" t="s">
        <v>25</v>
      </c>
      <c r="K28" t="s">
        <v>18</v>
      </c>
      <c r="L28" t="str">
        <f t="shared" si="0"/>
        <v>Mar</v>
      </c>
      <c r="M28" t="str">
        <f t="shared" si="1"/>
        <v>Saturday</v>
      </c>
    </row>
    <row r="29" spans="1:13">
      <c r="A29" t="s">
        <v>115</v>
      </c>
      <c r="B29" t="s">
        <v>116</v>
      </c>
      <c r="C29" t="s">
        <v>80</v>
      </c>
      <c r="D29" t="s">
        <v>81</v>
      </c>
      <c r="E29">
        <v>299</v>
      </c>
      <c r="F29">
        <v>2</v>
      </c>
      <c r="G29">
        <v>598</v>
      </c>
      <c r="H29" t="s">
        <v>62</v>
      </c>
      <c r="I29" t="s">
        <v>98</v>
      </c>
      <c r="J29" t="s">
        <v>17</v>
      </c>
      <c r="K29" t="s">
        <v>45</v>
      </c>
      <c r="L29" t="str">
        <f t="shared" si="0"/>
        <v>Jan</v>
      </c>
      <c r="M29" t="str">
        <f t="shared" si="1"/>
        <v>Sunday</v>
      </c>
    </row>
    <row r="30" spans="1:13">
      <c r="A30" t="s">
        <v>117</v>
      </c>
      <c r="B30" t="s">
        <v>118</v>
      </c>
      <c r="C30" t="s">
        <v>101</v>
      </c>
      <c r="D30" t="s">
        <v>81</v>
      </c>
      <c r="E30">
        <v>499</v>
      </c>
      <c r="F30">
        <v>1</v>
      </c>
      <c r="G30">
        <v>499</v>
      </c>
      <c r="H30" t="s">
        <v>119</v>
      </c>
      <c r="I30" t="s">
        <v>16</v>
      </c>
      <c r="J30" t="s">
        <v>25</v>
      </c>
      <c r="K30" t="s">
        <v>18</v>
      </c>
      <c r="L30" t="str">
        <f t="shared" si="0"/>
        <v>May</v>
      </c>
      <c r="M30" t="str">
        <f t="shared" si="1"/>
        <v>Thursday</v>
      </c>
    </row>
    <row r="31" spans="1:13">
      <c r="A31" t="s">
        <v>120</v>
      </c>
      <c r="B31" t="s">
        <v>121</v>
      </c>
      <c r="C31" t="s">
        <v>122</v>
      </c>
      <c r="D31" t="s">
        <v>29</v>
      </c>
      <c r="E31">
        <v>1299</v>
      </c>
      <c r="F31">
        <v>1</v>
      </c>
      <c r="G31">
        <v>1299</v>
      </c>
      <c r="H31" t="s">
        <v>66</v>
      </c>
      <c r="I31" t="s">
        <v>63</v>
      </c>
      <c r="J31" t="s">
        <v>17</v>
      </c>
      <c r="K31" t="s">
        <v>18</v>
      </c>
      <c r="L31" t="str">
        <f t="shared" si="0"/>
        <v>Jan</v>
      </c>
      <c r="M31" t="str">
        <f t="shared" si="1"/>
        <v>Wednesday</v>
      </c>
    </row>
    <row r="32" spans="1:13">
      <c r="A32" t="s">
        <v>123</v>
      </c>
      <c r="B32" t="s">
        <v>124</v>
      </c>
      <c r="C32" t="s">
        <v>21</v>
      </c>
      <c r="D32" t="s">
        <v>22</v>
      </c>
      <c r="E32">
        <v>1499</v>
      </c>
      <c r="F32">
        <v>3</v>
      </c>
      <c r="G32">
        <v>4497</v>
      </c>
      <c r="H32" t="s">
        <v>71</v>
      </c>
      <c r="I32" t="s">
        <v>125</v>
      </c>
      <c r="J32" t="s">
        <v>38</v>
      </c>
      <c r="K32" t="s">
        <v>18</v>
      </c>
      <c r="L32" t="str">
        <f t="shared" si="0"/>
        <v>Jun</v>
      </c>
      <c r="M32" t="str">
        <f t="shared" si="1"/>
        <v>Tuesday</v>
      </c>
    </row>
    <row r="33" spans="1:13">
      <c r="A33" t="s">
        <v>126</v>
      </c>
      <c r="B33" t="s">
        <v>124</v>
      </c>
      <c r="C33" t="s">
        <v>87</v>
      </c>
      <c r="D33" t="s">
        <v>88</v>
      </c>
      <c r="E33">
        <v>5499</v>
      </c>
      <c r="F33">
        <v>4</v>
      </c>
      <c r="G33">
        <v>21996</v>
      </c>
      <c r="H33" t="s">
        <v>89</v>
      </c>
      <c r="I33" t="s">
        <v>82</v>
      </c>
      <c r="J33" t="s">
        <v>38</v>
      </c>
      <c r="K33" t="s">
        <v>18</v>
      </c>
      <c r="L33" t="str">
        <f t="shared" si="0"/>
        <v>Jun</v>
      </c>
      <c r="M33" t="str">
        <f t="shared" si="1"/>
        <v>Tuesday</v>
      </c>
    </row>
    <row r="34" spans="1:13">
      <c r="A34" t="s">
        <v>127</v>
      </c>
      <c r="B34" t="s">
        <v>128</v>
      </c>
      <c r="C34" t="s">
        <v>122</v>
      </c>
      <c r="D34" t="s">
        <v>29</v>
      </c>
      <c r="E34">
        <v>1299</v>
      </c>
      <c r="F34">
        <v>4</v>
      </c>
      <c r="G34">
        <v>5196</v>
      </c>
      <c r="H34" t="s">
        <v>23</v>
      </c>
      <c r="I34" t="s">
        <v>77</v>
      </c>
      <c r="J34" t="s">
        <v>38</v>
      </c>
      <c r="K34" t="s">
        <v>33</v>
      </c>
      <c r="L34" t="str">
        <f t="shared" si="0"/>
        <v>Jun</v>
      </c>
      <c r="M34" t="str">
        <f t="shared" si="1"/>
        <v>Saturday</v>
      </c>
    </row>
    <row r="35" spans="1:13">
      <c r="A35" t="s">
        <v>129</v>
      </c>
      <c r="B35" t="s">
        <v>130</v>
      </c>
      <c r="C35" t="s">
        <v>87</v>
      </c>
      <c r="D35" t="s">
        <v>88</v>
      </c>
      <c r="E35">
        <v>5499</v>
      </c>
      <c r="F35">
        <v>4</v>
      </c>
      <c r="G35">
        <v>21996</v>
      </c>
      <c r="H35" t="s">
        <v>95</v>
      </c>
      <c r="I35" t="s">
        <v>16</v>
      </c>
      <c r="J35" t="s">
        <v>25</v>
      </c>
      <c r="K35" t="s">
        <v>45</v>
      </c>
      <c r="L35" t="str">
        <f t="shared" si="0"/>
        <v>Jun</v>
      </c>
      <c r="M35" t="str">
        <f t="shared" si="1"/>
        <v>Monday</v>
      </c>
    </row>
    <row r="36" spans="1:13">
      <c r="A36" t="s">
        <v>131</v>
      </c>
      <c r="B36" t="s">
        <v>132</v>
      </c>
      <c r="C36" t="s">
        <v>52</v>
      </c>
      <c r="D36" t="s">
        <v>53</v>
      </c>
      <c r="E36">
        <v>199</v>
      </c>
      <c r="F36">
        <v>2</v>
      </c>
      <c r="G36">
        <v>398</v>
      </c>
      <c r="H36" t="s">
        <v>119</v>
      </c>
      <c r="I36" t="s">
        <v>125</v>
      </c>
      <c r="J36" t="s">
        <v>25</v>
      </c>
      <c r="K36" t="s">
        <v>45</v>
      </c>
      <c r="L36" t="str">
        <f t="shared" si="0"/>
        <v>Mar</v>
      </c>
      <c r="M36" t="str">
        <f t="shared" si="1"/>
        <v>Friday</v>
      </c>
    </row>
    <row r="37" spans="1:13">
      <c r="A37" t="s">
        <v>133</v>
      </c>
      <c r="B37" t="s">
        <v>134</v>
      </c>
      <c r="C37" t="s">
        <v>135</v>
      </c>
      <c r="D37" t="s">
        <v>29</v>
      </c>
      <c r="E37">
        <v>3999</v>
      </c>
      <c r="F37">
        <v>5</v>
      </c>
      <c r="G37">
        <v>19995</v>
      </c>
      <c r="H37" t="s">
        <v>56</v>
      </c>
      <c r="I37" t="s">
        <v>57</v>
      </c>
      <c r="J37" t="s">
        <v>38</v>
      </c>
      <c r="K37" t="s">
        <v>18</v>
      </c>
      <c r="L37" t="str">
        <f t="shared" si="0"/>
        <v>Jun</v>
      </c>
      <c r="M37" t="str">
        <f t="shared" si="1"/>
        <v>Tuesday</v>
      </c>
    </row>
    <row r="38" spans="1:13">
      <c r="A38" t="s">
        <v>136</v>
      </c>
      <c r="B38" t="s">
        <v>137</v>
      </c>
      <c r="C38" t="s">
        <v>122</v>
      </c>
      <c r="D38" t="s">
        <v>29</v>
      </c>
      <c r="E38">
        <v>1299</v>
      </c>
      <c r="F38">
        <v>2</v>
      </c>
      <c r="G38">
        <v>2598</v>
      </c>
      <c r="H38" t="s">
        <v>30</v>
      </c>
      <c r="I38" t="s">
        <v>77</v>
      </c>
      <c r="J38" t="s">
        <v>25</v>
      </c>
      <c r="K38" t="s">
        <v>18</v>
      </c>
      <c r="L38" t="str">
        <f t="shared" si="0"/>
        <v>Mar</v>
      </c>
      <c r="M38" t="str">
        <f t="shared" si="1"/>
        <v>Monday</v>
      </c>
    </row>
    <row r="39" spans="1:13">
      <c r="A39" t="s">
        <v>138</v>
      </c>
      <c r="B39" t="s">
        <v>139</v>
      </c>
      <c r="C39" t="s">
        <v>135</v>
      </c>
      <c r="D39" t="s">
        <v>29</v>
      </c>
      <c r="E39">
        <v>3999</v>
      </c>
      <c r="F39">
        <v>1</v>
      </c>
      <c r="G39">
        <v>3999</v>
      </c>
      <c r="H39" t="s">
        <v>95</v>
      </c>
      <c r="I39" t="s">
        <v>63</v>
      </c>
      <c r="J39" t="s">
        <v>17</v>
      </c>
      <c r="K39" t="s">
        <v>18</v>
      </c>
      <c r="L39" t="str">
        <f t="shared" si="0"/>
        <v>Mar</v>
      </c>
      <c r="M39" t="str">
        <f t="shared" si="1"/>
        <v>Saturday</v>
      </c>
    </row>
    <row r="40" spans="1:13">
      <c r="A40" t="s">
        <v>140</v>
      </c>
      <c r="B40" t="s">
        <v>141</v>
      </c>
      <c r="C40" t="s">
        <v>52</v>
      </c>
      <c r="D40" t="s">
        <v>53</v>
      </c>
      <c r="E40">
        <v>199</v>
      </c>
      <c r="F40">
        <v>2</v>
      </c>
      <c r="G40">
        <v>398</v>
      </c>
      <c r="H40" t="s">
        <v>56</v>
      </c>
      <c r="I40" t="s">
        <v>63</v>
      </c>
      <c r="J40" t="s">
        <v>38</v>
      </c>
      <c r="K40" t="s">
        <v>18</v>
      </c>
      <c r="L40" t="str">
        <f t="shared" si="0"/>
        <v>May</v>
      </c>
      <c r="M40" t="str">
        <f t="shared" si="1"/>
        <v>Wednesday</v>
      </c>
    </row>
    <row r="41" spans="1:13">
      <c r="A41" t="s">
        <v>142</v>
      </c>
      <c r="B41" t="s">
        <v>143</v>
      </c>
      <c r="C41" t="s">
        <v>135</v>
      </c>
      <c r="D41" t="s">
        <v>29</v>
      </c>
      <c r="E41">
        <v>3999</v>
      </c>
      <c r="F41">
        <v>4</v>
      </c>
      <c r="G41">
        <v>15996</v>
      </c>
      <c r="H41" t="s">
        <v>62</v>
      </c>
      <c r="I41" t="s">
        <v>31</v>
      </c>
      <c r="J41" t="s">
        <v>90</v>
      </c>
      <c r="K41" t="s">
        <v>33</v>
      </c>
      <c r="L41" t="str">
        <f t="shared" si="0"/>
        <v>Mar</v>
      </c>
      <c r="M41" t="str">
        <f t="shared" si="1"/>
        <v>Tuesday</v>
      </c>
    </row>
    <row r="42" spans="1:13">
      <c r="A42" t="s">
        <v>144</v>
      </c>
      <c r="B42" t="s">
        <v>145</v>
      </c>
      <c r="C42" t="s">
        <v>135</v>
      </c>
      <c r="D42" t="s">
        <v>29</v>
      </c>
      <c r="E42">
        <v>3999</v>
      </c>
      <c r="F42">
        <v>3</v>
      </c>
      <c r="G42">
        <v>11997</v>
      </c>
      <c r="H42" t="s">
        <v>71</v>
      </c>
      <c r="I42" t="s">
        <v>63</v>
      </c>
      <c r="J42" t="s">
        <v>17</v>
      </c>
      <c r="K42" t="s">
        <v>18</v>
      </c>
      <c r="L42" t="str">
        <f t="shared" si="0"/>
        <v>Mar</v>
      </c>
      <c r="M42" t="str">
        <f t="shared" si="1"/>
        <v>Thursday</v>
      </c>
    </row>
    <row r="43" spans="1:13">
      <c r="A43" t="s">
        <v>146</v>
      </c>
      <c r="B43" t="s">
        <v>97</v>
      </c>
      <c r="C43" t="s">
        <v>52</v>
      </c>
      <c r="D43" t="s">
        <v>53</v>
      </c>
      <c r="E43">
        <v>199</v>
      </c>
      <c r="F43">
        <v>1</v>
      </c>
      <c r="G43">
        <v>199</v>
      </c>
      <c r="H43" t="s">
        <v>43</v>
      </c>
      <c r="I43" t="s">
        <v>67</v>
      </c>
      <c r="J43" t="s">
        <v>38</v>
      </c>
      <c r="K43" t="s">
        <v>45</v>
      </c>
      <c r="L43" t="str">
        <f t="shared" si="0"/>
        <v>Mar</v>
      </c>
      <c r="M43" t="str">
        <f t="shared" si="1"/>
        <v>Sunday</v>
      </c>
    </row>
    <row r="44" spans="1:13">
      <c r="A44" t="s">
        <v>147</v>
      </c>
      <c r="B44" t="s">
        <v>148</v>
      </c>
      <c r="C44" t="s">
        <v>28</v>
      </c>
      <c r="D44" t="s">
        <v>29</v>
      </c>
      <c r="E44">
        <v>1299</v>
      </c>
      <c r="F44">
        <v>2</v>
      </c>
      <c r="G44">
        <v>2598</v>
      </c>
      <c r="H44" t="s">
        <v>62</v>
      </c>
      <c r="I44" t="s">
        <v>57</v>
      </c>
      <c r="J44" t="s">
        <v>25</v>
      </c>
      <c r="K44" t="s">
        <v>33</v>
      </c>
      <c r="L44" t="str">
        <f t="shared" si="0"/>
        <v>May</v>
      </c>
      <c r="M44" t="str">
        <f t="shared" si="1"/>
        <v>Thursday</v>
      </c>
    </row>
    <row r="45" spans="1:13">
      <c r="A45" t="s">
        <v>149</v>
      </c>
      <c r="B45" t="s">
        <v>150</v>
      </c>
      <c r="C45" t="s">
        <v>101</v>
      </c>
      <c r="D45" t="s">
        <v>81</v>
      </c>
      <c r="E45">
        <v>499</v>
      </c>
      <c r="F45">
        <v>5</v>
      </c>
      <c r="G45">
        <v>2495</v>
      </c>
      <c r="H45" t="s">
        <v>56</v>
      </c>
      <c r="I45" t="s">
        <v>63</v>
      </c>
      <c r="J45" t="s">
        <v>25</v>
      </c>
      <c r="K45" t="s">
        <v>45</v>
      </c>
      <c r="L45" t="str">
        <f t="shared" si="0"/>
        <v>Feb</v>
      </c>
      <c r="M45" t="str">
        <f t="shared" si="1"/>
        <v>Sunday</v>
      </c>
    </row>
    <row r="46" spans="1:13">
      <c r="A46" t="s">
        <v>151</v>
      </c>
      <c r="B46" t="s">
        <v>152</v>
      </c>
      <c r="C46" t="s">
        <v>101</v>
      </c>
      <c r="D46" t="s">
        <v>81</v>
      </c>
      <c r="E46">
        <v>499</v>
      </c>
      <c r="F46">
        <v>3</v>
      </c>
      <c r="G46">
        <v>1497</v>
      </c>
      <c r="H46" t="s">
        <v>43</v>
      </c>
      <c r="I46" t="s">
        <v>67</v>
      </c>
      <c r="J46" t="s">
        <v>38</v>
      </c>
      <c r="K46" t="s">
        <v>18</v>
      </c>
      <c r="L46" t="str">
        <f t="shared" si="0"/>
        <v>Apr</v>
      </c>
      <c r="M46" t="str">
        <f t="shared" si="1"/>
        <v>Saturday</v>
      </c>
    </row>
    <row r="47" spans="1:13">
      <c r="A47" t="s">
        <v>153</v>
      </c>
      <c r="B47" t="s">
        <v>154</v>
      </c>
      <c r="C47" t="s">
        <v>70</v>
      </c>
      <c r="D47" t="s">
        <v>29</v>
      </c>
      <c r="E47">
        <v>799</v>
      </c>
      <c r="F47">
        <v>3</v>
      </c>
      <c r="G47">
        <v>2397</v>
      </c>
      <c r="H47" t="s">
        <v>30</v>
      </c>
      <c r="I47" t="s">
        <v>67</v>
      </c>
      <c r="J47" t="s">
        <v>90</v>
      </c>
      <c r="K47" t="s">
        <v>33</v>
      </c>
      <c r="L47" t="str">
        <f t="shared" si="0"/>
        <v>Apr</v>
      </c>
      <c r="M47" t="str">
        <f t="shared" si="1"/>
        <v>Tuesday</v>
      </c>
    </row>
    <row r="48" spans="1:13">
      <c r="A48" t="s">
        <v>155</v>
      </c>
      <c r="B48" t="s">
        <v>156</v>
      </c>
      <c r="C48" t="s">
        <v>48</v>
      </c>
      <c r="D48" t="s">
        <v>49</v>
      </c>
      <c r="E48">
        <v>699</v>
      </c>
      <c r="F48">
        <v>2</v>
      </c>
      <c r="G48">
        <v>1398</v>
      </c>
      <c r="H48" t="s">
        <v>157</v>
      </c>
      <c r="I48" t="s">
        <v>98</v>
      </c>
      <c r="J48" t="s">
        <v>32</v>
      </c>
      <c r="K48" t="s">
        <v>18</v>
      </c>
      <c r="L48" t="str">
        <f t="shared" si="0"/>
        <v>Mar</v>
      </c>
      <c r="M48" t="str">
        <f t="shared" si="1"/>
        <v>Tuesday</v>
      </c>
    </row>
    <row r="49" spans="1:13">
      <c r="A49" t="s">
        <v>158</v>
      </c>
      <c r="B49" t="s">
        <v>159</v>
      </c>
      <c r="C49" t="s">
        <v>135</v>
      </c>
      <c r="D49" t="s">
        <v>29</v>
      </c>
      <c r="E49">
        <v>3999</v>
      </c>
      <c r="F49">
        <v>4</v>
      </c>
      <c r="G49">
        <v>15996</v>
      </c>
      <c r="H49" t="s">
        <v>119</v>
      </c>
      <c r="I49" t="s">
        <v>44</v>
      </c>
      <c r="J49" t="s">
        <v>32</v>
      </c>
      <c r="K49" t="s">
        <v>18</v>
      </c>
      <c r="L49" t="str">
        <f t="shared" si="0"/>
        <v>Apr</v>
      </c>
      <c r="M49" t="str">
        <f t="shared" si="1"/>
        <v>Thursday</v>
      </c>
    </row>
    <row r="50" spans="1:13">
      <c r="A50" t="s">
        <v>160</v>
      </c>
      <c r="B50" t="s">
        <v>161</v>
      </c>
      <c r="C50" t="s">
        <v>162</v>
      </c>
      <c r="D50" t="s">
        <v>29</v>
      </c>
      <c r="E50">
        <v>1799</v>
      </c>
      <c r="F50">
        <v>4</v>
      </c>
      <c r="G50">
        <v>7196</v>
      </c>
      <c r="H50" t="s">
        <v>157</v>
      </c>
      <c r="I50" t="s">
        <v>105</v>
      </c>
      <c r="J50" t="s">
        <v>32</v>
      </c>
      <c r="K50" t="s">
        <v>45</v>
      </c>
      <c r="L50" t="str">
        <f t="shared" si="0"/>
        <v>Apr</v>
      </c>
      <c r="M50" t="str">
        <f t="shared" si="1"/>
        <v>Friday</v>
      </c>
    </row>
    <row r="51" spans="1:13">
      <c r="A51" t="s">
        <v>163</v>
      </c>
      <c r="B51" t="s">
        <v>164</v>
      </c>
      <c r="C51" t="s">
        <v>87</v>
      </c>
      <c r="D51" t="s">
        <v>88</v>
      </c>
      <c r="E51">
        <v>5499</v>
      </c>
      <c r="F51">
        <v>2</v>
      </c>
      <c r="G51">
        <v>10998</v>
      </c>
      <c r="H51" t="s">
        <v>66</v>
      </c>
      <c r="I51" t="s">
        <v>105</v>
      </c>
      <c r="J51" t="s">
        <v>25</v>
      </c>
      <c r="K51" t="s">
        <v>18</v>
      </c>
      <c r="L51" t="str">
        <f t="shared" si="0"/>
        <v>Feb</v>
      </c>
      <c r="M51" t="str">
        <f t="shared" si="1"/>
        <v>Wednesday</v>
      </c>
    </row>
    <row r="52" spans="1:13">
      <c r="A52" t="s">
        <v>165</v>
      </c>
      <c r="B52" t="s">
        <v>164</v>
      </c>
      <c r="C52" t="s">
        <v>70</v>
      </c>
      <c r="D52" t="s">
        <v>29</v>
      </c>
      <c r="E52">
        <v>799</v>
      </c>
      <c r="F52">
        <v>2</v>
      </c>
      <c r="G52">
        <v>1598</v>
      </c>
      <c r="H52" t="s">
        <v>89</v>
      </c>
      <c r="I52" t="s">
        <v>82</v>
      </c>
      <c r="J52" t="s">
        <v>32</v>
      </c>
      <c r="K52" t="s">
        <v>18</v>
      </c>
      <c r="L52" t="str">
        <f t="shared" si="0"/>
        <v>Feb</v>
      </c>
      <c r="M52" t="str">
        <f t="shared" si="1"/>
        <v>Wednesday</v>
      </c>
    </row>
    <row r="53" spans="1:13">
      <c r="A53" t="s">
        <v>166</v>
      </c>
      <c r="B53" t="s">
        <v>167</v>
      </c>
      <c r="C53" t="s">
        <v>60</v>
      </c>
      <c r="D53" t="s">
        <v>61</v>
      </c>
      <c r="E53">
        <v>899</v>
      </c>
      <c r="F53">
        <v>1</v>
      </c>
      <c r="G53">
        <v>899</v>
      </c>
      <c r="H53" t="s">
        <v>37</v>
      </c>
      <c r="I53" t="s">
        <v>57</v>
      </c>
      <c r="J53" t="s">
        <v>38</v>
      </c>
      <c r="K53" t="s">
        <v>18</v>
      </c>
      <c r="L53" t="str">
        <f t="shared" si="0"/>
        <v>Mar</v>
      </c>
      <c r="M53" t="str">
        <f t="shared" si="1"/>
        <v>Thursday</v>
      </c>
    </row>
    <row r="54" spans="1:13">
      <c r="A54" t="s">
        <v>168</v>
      </c>
      <c r="B54" t="s">
        <v>169</v>
      </c>
      <c r="C54" t="s">
        <v>162</v>
      </c>
      <c r="D54" t="s">
        <v>29</v>
      </c>
      <c r="E54">
        <v>1799</v>
      </c>
      <c r="F54">
        <v>3</v>
      </c>
      <c r="G54">
        <v>5397</v>
      </c>
      <c r="H54" t="s">
        <v>119</v>
      </c>
      <c r="I54" t="s">
        <v>57</v>
      </c>
      <c r="J54" t="s">
        <v>90</v>
      </c>
      <c r="K54" t="s">
        <v>18</v>
      </c>
      <c r="L54" t="str">
        <f t="shared" si="0"/>
        <v>Jan</v>
      </c>
      <c r="M54" t="str">
        <f t="shared" si="1"/>
        <v>Tuesday</v>
      </c>
    </row>
    <row r="55" spans="1:13">
      <c r="A55" t="s">
        <v>170</v>
      </c>
      <c r="B55" t="s">
        <v>171</v>
      </c>
      <c r="C55" t="s">
        <v>70</v>
      </c>
      <c r="D55" t="s">
        <v>29</v>
      </c>
      <c r="E55">
        <v>799</v>
      </c>
      <c r="F55">
        <v>3</v>
      </c>
      <c r="G55">
        <v>2397</v>
      </c>
      <c r="H55" t="s">
        <v>71</v>
      </c>
      <c r="I55" t="s">
        <v>125</v>
      </c>
      <c r="J55" t="s">
        <v>90</v>
      </c>
      <c r="K55" t="s">
        <v>45</v>
      </c>
      <c r="L55" t="str">
        <f t="shared" si="0"/>
        <v>Jun</v>
      </c>
      <c r="M55" t="str">
        <f t="shared" si="1"/>
        <v>Monday</v>
      </c>
    </row>
    <row r="56" spans="1:13">
      <c r="A56" t="s">
        <v>172</v>
      </c>
      <c r="B56" t="s">
        <v>173</v>
      </c>
      <c r="C56" t="s">
        <v>13</v>
      </c>
      <c r="D56" t="s">
        <v>14</v>
      </c>
      <c r="E56">
        <v>2499</v>
      </c>
      <c r="F56">
        <v>5</v>
      </c>
      <c r="G56">
        <v>12495</v>
      </c>
      <c r="H56" t="s">
        <v>95</v>
      </c>
      <c r="I56" t="s">
        <v>24</v>
      </c>
      <c r="J56" t="s">
        <v>90</v>
      </c>
      <c r="K56" t="s">
        <v>18</v>
      </c>
      <c r="L56" t="str">
        <f t="shared" si="0"/>
        <v>Jan</v>
      </c>
      <c r="M56" t="str">
        <f t="shared" si="1"/>
        <v>Thursday</v>
      </c>
    </row>
    <row r="57" spans="1:13">
      <c r="A57" t="s">
        <v>174</v>
      </c>
      <c r="B57" t="s">
        <v>175</v>
      </c>
      <c r="C57" t="s">
        <v>122</v>
      </c>
      <c r="D57" t="s">
        <v>29</v>
      </c>
      <c r="E57">
        <v>1299</v>
      </c>
      <c r="F57">
        <v>4</v>
      </c>
      <c r="G57">
        <v>5196</v>
      </c>
      <c r="H57" t="s">
        <v>15</v>
      </c>
      <c r="I57" t="s">
        <v>63</v>
      </c>
      <c r="J57" t="s">
        <v>25</v>
      </c>
      <c r="K57" t="s">
        <v>33</v>
      </c>
      <c r="L57" t="str">
        <f t="shared" si="0"/>
        <v>May</v>
      </c>
      <c r="M57" t="str">
        <f t="shared" si="1"/>
        <v>Thursday</v>
      </c>
    </row>
    <row r="58" spans="1:13">
      <c r="A58" t="s">
        <v>176</v>
      </c>
      <c r="B58" t="s">
        <v>177</v>
      </c>
      <c r="C58" t="s">
        <v>48</v>
      </c>
      <c r="D58" t="s">
        <v>49</v>
      </c>
      <c r="E58">
        <v>699</v>
      </c>
      <c r="F58">
        <v>4</v>
      </c>
      <c r="G58">
        <v>2796</v>
      </c>
      <c r="H58" t="s">
        <v>43</v>
      </c>
      <c r="I58" t="s">
        <v>16</v>
      </c>
      <c r="J58" t="s">
        <v>25</v>
      </c>
      <c r="K58" t="s">
        <v>18</v>
      </c>
      <c r="L58" t="str">
        <f t="shared" si="0"/>
        <v>Jan</v>
      </c>
      <c r="M58" t="str">
        <f t="shared" si="1"/>
        <v>Saturday</v>
      </c>
    </row>
    <row r="59" spans="1:13">
      <c r="A59" t="s">
        <v>178</v>
      </c>
      <c r="B59" t="s">
        <v>179</v>
      </c>
      <c r="C59" t="s">
        <v>48</v>
      </c>
      <c r="D59" t="s">
        <v>49</v>
      </c>
      <c r="E59">
        <v>699</v>
      </c>
      <c r="F59">
        <v>2</v>
      </c>
      <c r="G59">
        <v>1398</v>
      </c>
      <c r="H59" t="s">
        <v>43</v>
      </c>
      <c r="I59" t="s">
        <v>24</v>
      </c>
      <c r="J59" t="s">
        <v>25</v>
      </c>
      <c r="K59" t="s">
        <v>18</v>
      </c>
      <c r="L59" t="str">
        <f t="shared" si="0"/>
        <v>May</v>
      </c>
      <c r="M59" t="str">
        <f t="shared" si="1"/>
        <v>Wednesday</v>
      </c>
    </row>
    <row r="60" spans="1:13">
      <c r="A60" t="s">
        <v>180</v>
      </c>
      <c r="B60" t="s">
        <v>104</v>
      </c>
      <c r="C60" t="s">
        <v>80</v>
      </c>
      <c r="D60" t="s">
        <v>81</v>
      </c>
      <c r="E60">
        <v>299</v>
      </c>
      <c r="F60">
        <v>5</v>
      </c>
      <c r="G60">
        <v>1495</v>
      </c>
      <c r="H60" t="s">
        <v>30</v>
      </c>
      <c r="I60" t="s">
        <v>63</v>
      </c>
      <c r="J60" t="s">
        <v>32</v>
      </c>
      <c r="K60" t="s">
        <v>45</v>
      </c>
      <c r="L60" t="str">
        <f t="shared" si="0"/>
        <v>Jun</v>
      </c>
      <c r="M60" t="str">
        <f t="shared" si="1"/>
        <v>Monday</v>
      </c>
    </row>
    <row r="61" spans="1:13">
      <c r="A61" t="s">
        <v>181</v>
      </c>
      <c r="B61" t="s">
        <v>65</v>
      </c>
      <c r="C61" t="s">
        <v>28</v>
      </c>
      <c r="D61" t="s">
        <v>29</v>
      </c>
      <c r="E61">
        <v>1299</v>
      </c>
      <c r="F61">
        <v>3</v>
      </c>
      <c r="G61">
        <v>3897</v>
      </c>
      <c r="H61" t="s">
        <v>62</v>
      </c>
      <c r="I61" t="s">
        <v>67</v>
      </c>
      <c r="J61" t="s">
        <v>90</v>
      </c>
      <c r="K61" t="s">
        <v>45</v>
      </c>
      <c r="L61" t="str">
        <f t="shared" si="0"/>
        <v>Jan</v>
      </c>
      <c r="M61" t="str">
        <f t="shared" si="1"/>
        <v>Thursday</v>
      </c>
    </row>
    <row r="62" spans="1:13">
      <c r="A62" t="s">
        <v>182</v>
      </c>
      <c r="B62" t="s">
        <v>183</v>
      </c>
      <c r="C62" t="s">
        <v>28</v>
      </c>
      <c r="D62" t="s">
        <v>29</v>
      </c>
      <c r="E62">
        <v>1299</v>
      </c>
      <c r="F62">
        <v>5</v>
      </c>
      <c r="G62">
        <v>6495</v>
      </c>
      <c r="H62" t="s">
        <v>30</v>
      </c>
      <c r="I62" t="s">
        <v>24</v>
      </c>
      <c r="J62" t="s">
        <v>90</v>
      </c>
      <c r="K62" t="s">
        <v>18</v>
      </c>
      <c r="L62" t="str">
        <f t="shared" si="0"/>
        <v>Jan</v>
      </c>
      <c r="M62" t="str">
        <f t="shared" si="1"/>
        <v>Tuesday</v>
      </c>
    </row>
    <row r="63" spans="1:13">
      <c r="A63" t="s">
        <v>184</v>
      </c>
      <c r="B63" t="s">
        <v>185</v>
      </c>
      <c r="C63" t="s">
        <v>60</v>
      </c>
      <c r="D63" t="s">
        <v>61</v>
      </c>
      <c r="E63">
        <v>899</v>
      </c>
      <c r="F63">
        <v>5</v>
      </c>
      <c r="G63">
        <v>4495</v>
      </c>
      <c r="H63" t="s">
        <v>186</v>
      </c>
      <c r="I63" t="s">
        <v>67</v>
      </c>
      <c r="J63" t="s">
        <v>38</v>
      </c>
      <c r="K63" t="s">
        <v>18</v>
      </c>
      <c r="L63" t="str">
        <f t="shared" si="0"/>
        <v>Mar</v>
      </c>
      <c r="M63" t="str">
        <f t="shared" si="1"/>
        <v>Monday</v>
      </c>
    </row>
    <row r="64" spans="1:13">
      <c r="A64" t="s">
        <v>187</v>
      </c>
      <c r="B64" t="s">
        <v>92</v>
      </c>
      <c r="C64" t="s">
        <v>76</v>
      </c>
      <c r="D64" t="s">
        <v>49</v>
      </c>
      <c r="E64">
        <v>1599</v>
      </c>
      <c r="F64">
        <v>4</v>
      </c>
      <c r="G64">
        <v>6396</v>
      </c>
      <c r="H64" t="s">
        <v>56</v>
      </c>
      <c r="I64" t="s">
        <v>31</v>
      </c>
      <c r="J64" t="s">
        <v>25</v>
      </c>
      <c r="K64" t="s">
        <v>33</v>
      </c>
      <c r="L64" t="str">
        <f t="shared" si="0"/>
        <v>Feb</v>
      </c>
      <c r="M64" t="str">
        <f t="shared" si="1"/>
        <v>Saturday</v>
      </c>
    </row>
    <row r="65" spans="1:13">
      <c r="A65" t="s">
        <v>188</v>
      </c>
      <c r="B65" t="s">
        <v>189</v>
      </c>
      <c r="C65" t="s">
        <v>36</v>
      </c>
      <c r="D65" t="s">
        <v>29</v>
      </c>
      <c r="E65">
        <v>1999</v>
      </c>
      <c r="F65">
        <v>5</v>
      </c>
      <c r="G65">
        <v>9995</v>
      </c>
      <c r="H65" t="s">
        <v>119</v>
      </c>
      <c r="I65" t="s">
        <v>82</v>
      </c>
      <c r="J65" t="s">
        <v>38</v>
      </c>
      <c r="K65" t="s">
        <v>45</v>
      </c>
      <c r="L65" t="str">
        <f t="shared" si="0"/>
        <v>Apr</v>
      </c>
      <c r="M65" t="str">
        <f t="shared" si="1"/>
        <v>Sunday</v>
      </c>
    </row>
    <row r="66" spans="1:13">
      <c r="A66" t="s">
        <v>190</v>
      </c>
      <c r="B66" t="s">
        <v>173</v>
      </c>
      <c r="C66" t="s">
        <v>162</v>
      </c>
      <c r="D66" t="s">
        <v>29</v>
      </c>
      <c r="E66">
        <v>1799</v>
      </c>
      <c r="F66">
        <v>5</v>
      </c>
      <c r="G66">
        <v>8995</v>
      </c>
      <c r="H66" t="s">
        <v>102</v>
      </c>
      <c r="I66" t="s">
        <v>31</v>
      </c>
      <c r="J66" t="s">
        <v>32</v>
      </c>
      <c r="K66" t="s">
        <v>33</v>
      </c>
      <c r="L66" t="str">
        <f t="shared" si="0"/>
        <v>Jan</v>
      </c>
      <c r="M66" t="str">
        <f t="shared" si="1"/>
        <v>Thursday</v>
      </c>
    </row>
    <row r="67" spans="1:13">
      <c r="A67" t="s">
        <v>191</v>
      </c>
      <c r="B67" t="s">
        <v>192</v>
      </c>
      <c r="C67" t="s">
        <v>60</v>
      </c>
      <c r="D67" t="s">
        <v>61</v>
      </c>
      <c r="E67">
        <v>899</v>
      </c>
      <c r="F67">
        <v>3</v>
      </c>
      <c r="G67">
        <v>2697</v>
      </c>
      <c r="H67" t="s">
        <v>157</v>
      </c>
      <c r="I67" t="s">
        <v>98</v>
      </c>
      <c r="J67" t="s">
        <v>25</v>
      </c>
      <c r="K67" t="s">
        <v>18</v>
      </c>
      <c r="L67" t="str">
        <f t="shared" ref="L67:L130" si="2">TEXT(B67,"MMM")</f>
        <v>Jun</v>
      </c>
      <c r="M67" t="str">
        <f t="shared" ref="M67:M130" si="3">TEXT(B67,"dddd")</f>
        <v>Sunday</v>
      </c>
    </row>
    <row r="68" spans="1:13">
      <c r="A68" t="s">
        <v>193</v>
      </c>
      <c r="B68" t="s">
        <v>132</v>
      </c>
      <c r="C68" t="s">
        <v>70</v>
      </c>
      <c r="D68" t="s">
        <v>29</v>
      </c>
      <c r="E68">
        <v>799</v>
      </c>
      <c r="F68">
        <v>2</v>
      </c>
      <c r="G68">
        <v>1598</v>
      </c>
      <c r="H68" t="s">
        <v>15</v>
      </c>
      <c r="I68" t="s">
        <v>125</v>
      </c>
      <c r="J68" t="s">
        <v>38</v>
      </c>
      <c r="K68" t="s">
        <v>18</v>
      </c>
      <c r="L68" t="str">
        <f t="shared" si="2"/>
        <v>Mar</v>
      </c>
      <c r="M68" t="str">
        <f t="shared" si="3"/>
        <v>Friday</v>
      </c>
    </row>
    <row r="69" spans="1:13">
      <c r="A69" t="s">
        <v>194</v>
      </c>
      <c r="B69" t="s">
        <v>183</v>
      </c>
      <c r="C69" t="s">
        <v>70</v>
      </c>
      <c r="D69" t="s">
        <v>29</v>
      </c>
      <c r="E69">
        <v>799</v>
      </c>
      <c r="F69">
        <v>5</v>
      </c>
      <c r="G69">
        <v>3995</v>
      </c>
      <c r="H69" t="s">
        <v>89</v>
      </c>
      <c r="I69" t="s">
        <v>77</v>
      </c>
      <c r="J69" t="s">
        <v>25</v>
      </c>
      <c r="K69" t="s">
        <v>45</v>
      </c>
      <c r="L69" t="str">
        <f t="shared" si="2"/>
        <v>Jan</v>
      </c>
      <c r="M69" t="str">
        <f t="shared" si="3"/>
        <v>Tuesday</v>
      </c>
    </row>
    <row r="70" spans="1:13">
      <c r="A70" t="s">
        <v>195</v>
      </c>
      <c r="B70" t="s">
        <v>196</v>
      </c>
      <c r="C70" t="s">
        <v>122</v>
      </c>
      <c r="D70" t="s">
        <v>29</v>
      </c>
      <c r="E70">
        <v>1299</v>
      </c>
      <c r="F70">
        <v>2</v>
      </c>
      <c r="G70">
        <v>2598</v>
      </c>
      <c r="H70" t="s">
        <v>102</v>
      </c>
      <c r="I70" t="s">
        <v>57</v>
      </c>
      <c r="J70" t="s">
        <v>25</v>
      </c>
      <c r="K70" t="s">
        <v>45</v>
      </c>
      <c r="L70" t="str">
        <f t="shared" si="2"/>
        <v>May</v>
      </c>
      <c r="M70" t="str">
        <f t="shared" si="3"/>
        <v>Friday</v>
      </c>
    </row>
    <row r="71" spans="1:13">
      <c r="A71" t="s">
        <v>197</v>
      </c>
      <c r="B71" t="s">
        <v>198</v>
      </c>
      <c r="C71" t="s">
        <v>21</v>
      </c>
      <c r="D71" t="s">
        <v>22</v>
      </c>
      <c r="E71">
        <v>1499</v>
      </c>
      <c r="F71">
        <v>2</v>
      </c>
      <c r="G71">
        <v>2998</v>
      </c>
      <c r="H71" t="s">
        <v>89</v>
      </c>
      <c r="I71" t="s">
        <v>24</v>
      </c>
      <c r="J71" t="s">
        <v>90</v>
      </c>
      <c r="K71" t="s">
        <v>18</v>
      </c>
      <c r="L71" t="str">
        <f t="shared" si="2"/>
        <v>May</v>
      </c>
      <c r="M71" t="str">
        <f t="shared" si="3"/>
        <v>Tuesday</v>
      </c>
    </row>
    <row r="72" spans="1:13">
      <c r="A72" t="s">
        <v>199</v>
      </c>
      <c r="B72" t="s">
        <v>200</v>
      </c>
      <c r="C72" t="s">
        <v>36</v>
      </c>
      <c r="D72" t="s">
        <v>29</v>
      </c>
      <c r="E72">
        <v>1999</v>
      </c>
      <c r="F72">
        <v>2</v>
      </c>
      <c r="G72">
        <v>3998</v>
      </c>
      <c r="H72" t="s">
        <v>23</v>
      </c>
      <c r="I72" t="s">
        <v>125</v>
      </c>
      <c r="J72" t="s">
        <v>32</v>
      </c>
      <c r="K72" t="s">
        <v>18</v>
      </c>
      <c r="L72" t="str">
        <f t="shared" si="2"/>
        <v>Apr</v>
      </c>
      <c r="M72" t="str">
        <f t="shared" si="3"/>
        <v>Friday</v>
      </c>
    </row>
    <row r="73" spans="1:13">
      <c r="A73" t="s">
        <v>201</v>
      </c>
      <c r="B73" t="s">
        <v>104</v>
      </c>
      <c r="C73" t="s">
        <v>13</v>
      </c>
      <c r="D73" t="s">
        <v>14</v>
      </c>
      <c r="E73">
        <v>2499</v>
      </c>
      <c r="F73">
        <v>3</v>
      </c>
      <c r="G73">
        <v>7497</v>
      </c>
      <c r="H73" t="s">
        <v>37</v>
      </c>
      <c r="I73" t="s">
        <v>24</v>
      </c>
      <c r="J73" t="s">
        <v>17</v>
      </c>
      <c r="K73" t="s">
        <v>33</v>
      </c>
      <c r="L73" t="str">
        <f t="shared" si="2"/>
        <v>Jun</v>
      </c>
      <c r="M73" t="str">
        <f t="shared" si="3"/>
        <v>Monday</v>
      </c>
    </row>
    <row r="74" spans="1:13">
      <c r="A74" t="s">
        <v>202</v>
      </c>
      <c r="B74" t="s">
        <v>203</v>
      </c>
      <c r="C74" t="s">
        <v>13</v>
      </c>
      <c r="D74" t="s">
        <v>14</v>
      </c>
      <c r="E74">
        <v>2499</v>
      </c>
      <c r="F74">
        <v>2</v>
      </c>
      <c r="G74">
        <v>4998</v>
      </c>
      <c r="H74" t="s">
        <v>66</v>
      </c>
      <c r="I74" t="s">
        <v>82</v>
      </c>
      <c r="J74" t="s">
        <v>17</v>
      </c>
      <c r="K74" t="s">
        <v>18</v>
      </c>
      <c r="L74" t="str">
        <f t="shared" si="2"/>
        <v>Feb</v>
      </c>
      <c r="M74" t="str">
        <f t="shared" si="3"/>
        <v>Friday</v>
      </c>
    </row>
    <row r="75" spans="1:13">
      <c r="A75" t="s">
        <v>204</v>
      </c>
      <c r="B75" t="s">
        <v>205</v>
      </c>
      <c r="C75" t="s">
        <v>52</v>
      </c>
      <c r="D75" t="s">
        <v>53</v>
      </c>
      <c r="E75">
        <v>199</v>
      </c>
      <c r="F75">
        <v>1</v>
      </c>
      <c r="G75">
        <v>199</v>
      </c>
      <c r="H75" t="s">
        <v>43</v>
      </c>
      <c r="I75" t="s">
        <v>57</v>
      </c>
      <c r="J75" t="s">
        <v>25</v>
      </c>
      <c r="K75" t="s">
        <v>18</v>
      </c>
      <c r="L75" t="str">
        <f t="shared" si="2"/>
        <v>Jan</v>
      </c>
      <c r="M75" t="str">
        <f t="shared" si="3"/>
        <v>Wednesday</v>
      </c>
    </row>
    <row r="76" spans="1:13">
      <c r="A76" t="s">
        <v>206</v>
      </c>
      <c r="B76" t="s">
        <v>207</v>
      </c>
      <c r="C76" t="s">
        <v>48</v>
      </c>
      <c r="D76" t="s">
        <v>49</v>
      </c>
      <c r="E76">
        <v>699</v>
      </c>
      <c r="F76">
        <v>4</v>
      </c>
      <c r="G76">
        <v>2796</v>
      </c>
      <c r="H76" t="s">
        <v>15</v>
      </c>
      <c r="I76" t="s">
        <v>67</v>
      </c>
      <c r="J76" t="s">
        <v>25</v>
      </c>
      <c r="K76" t="s">
        <v>18</v>
      </c>
      <c r="L76" t="str">
        <f t="shared" si="2"/>
        <v>Feb</v>
      </c>
      <c r="M76" t="str">
        <f t="shared" si="3"/>
        <v>Monday</v>
      </c>
    </row>
    <row r="77" spans="1:13">
      <c r="A77" t="s">
        <v>208</v>
      </c>
      <c r="B77" t="s">
        <v>100</v>
      </c>
      <c r="C77" t="s">
        <v>21</v>
      </c>
      <c r="D77" t="s">
        <v>22</v>
      </c>
      <c r="E77">
        <v>1499</v>
      </c>
      <c r="F77">
        <v>3</v>
      </c>
      <c r="G77">
        <v>4497</v>
      </c>
      <c r="H77" t="s">
        <v>71</v>
      </c>
      <c r="I77" t="s">
        <v>67</v>
      </c>
      <c r="J77" t="s">
        <v>38</v>
      </c>
      <c r="K77" t="s">
        <v>18</v>
      </c>
      <c r="L77" t="str">
        <f t="shared" si="2"/>
        <v>Jan</v>
      </c>
      <c r="M77" t="str">
        <f t="shared" si="3"/>
        <v>Friday</v>
      </c>
    </row>
    <row r="78" spans="1:13">
      <c r="A78" t="s">
        <v>209</v>
      </c>
      <c r="B78" t="s">
        <v>210</v>
      </c>
      <c r="C78" t="s">
        <v>87</v>
      </c>
      <c r="D78" t="s">
        <v>88</v>
      </c>
      <c r="E78">
        <v>5499</v>
      </c>
      <c r="F78">
        <v>5</v>
      </c>
      <c r="G78">
        <v>27495</v>
      </c>
      <c r="H78" t="s">
        <v>102</v>
      </c>
      <c r="I78" t="s">
        <v>57</v>
      </c>
      <c r="J78" t="s">
        <v>25</v>
      </c>
      <c r="K78" t="s">
        <v>45</v>
      </c>
      <c r="L78" t="str">
        <f t="shared" si="2"/>
        <v>Apr</v>
      </c>
      <c r="M78" t="str">
        <f t="shared" si="3"/>
        <v>Wednesday</v>
      </c>
    </row>
    <row r="79" spans="1:13">
      <c r="A79" t="s">
        <v>211</v>
      </c>
      <c r="B79" t="s">
        <v>212</v>
      </c>
      <c r="C79" t="s">
        <v>60</v>
      </c>
      <c r="D79" t="s">
        <v>61</v>
      </c>
      <c r="E79">
        <v>899</v>
      </c>
      <c r="F79">
        <v>2</v>
      </c>
      <c r="G79">
        <v>1798</v>
      </c>
      <c r="H79" t="s">
        <v>43</v>
      </c>
      <c r="I79" t="s">
        <v>63</v>
      </c>
      <c r="J79" t="s">
        <v>32</v>
      </c>
      <c r="K79" t="s">
        <v>45</v>
      </c>
      <c r="L79" t="str">
        <f t="shared" si="2"/>
        <v>Mar</v>
      </c>
      <c r="M79" t="str">
        <f t="shared" si="3"/>
        <v>Monday</v>
      </c>
    </row>
    <row r="80" spans="1:13">
      <c r="A80" t="s">
        <v>213</v>
      </c>
      <c r="B80" t="s">
        <v>121</v>
      </c>
      <c r="C80" t="s">
        <v>21</v>
      </c>
      <c r="D80" t="s">
        <v>22</v>
      </c>
      <c r="E80">
        <v>1499</v>
      </c>
      <c r="F80">
        <v>5</v>
      </c>
      <c r="G80">
        <v>7495</v>
      </c>
      <c r="H80" t="s">
        <v>66</v>
      </c>
      <c r="I80" t="s">
        <v>67</v>
      </c>
      <c r="J80" t="s">
        <v>32</v>
      </c>
      <c r="K80" t="s">
        <v>18</v>
      </c>
      <c r="L80" t="str">
        <f t="shared" si="2"/>
        <v>Jan</v>
      </c>
      <c r="M80" t="str">
        <f t="shared" si="3"/>
        <v>Wednesday</v>
      </c>
    </row>
    <row r="81" spans="1:13">
      <c r="A81" t="s">
        <v>214</v>
      </c>
      <c r="B81" t="s">
        <v>215</v>
      </c>
      <c r="C81" t="s">
        <v>101</v>
      </c>
      <c r="D81" t="s">
        <v>81</v>
      </c>
      <c r="E81">
        <v>499</v>
      </c>
      <c r="F81">
        <v>1</v>
      </c>
      <c r="G81">
        <v>499</v>
      </c>
      <c r="H81" t="s">
        <v>30</v>
      </c>
      <c r="I81" t="s">
        <v>77</v>
      </c>
      <c r="J81" t="s">
        <v>25</v>
      </c>
      <c r="K81" t="s">
        <v>45</v>
      </c>
      <c r="L81" t="str">
        <f t="shared" si="2"/>
        <v>Jan</v>
      </c>
      <c r="M81" t="str">
        <f t="shared" si="3"/>
        <v>Saturday</v>
      </c>
    </row>
    <row r="82" spans="1:13">
      <c r="A82" t="s">
        <v>216</v>
      </c>
      <c r="B82" t="s">
        <v>217</v>
      </c>
      <c r="C82" t="s">
        <v>36</v>
      </c>
      <c r="D82" t="s">
        <v>29</v>
      </c>
      <c r="E82">
        <v>1999</v>
      </c>
      <c r="F82">
        <v>1</v>
      </c>
      <c r="G82">
        <v>1999</v>
      </c>
      <c r="H82" t="s">
        <v>71</v>
      </c>
      <c r="I82" t="s">
        <v>82</v>
      </c>
      <c r="J82" t="s">
        <v>32</v>
      </c>
      <c r="K82" t="s">
        <v>18</v>
      </c>
      <c r="L82" t="str">
        <f t="shared" si="2"/>
        <v>Jun</v>
      </c>
      <c r="M82" t="str">
        <f t="shared" si="3"/>
        <v>Sunday</v>
      </c>
    </row>
    <row r="83" spans="1:13">
      <c r="A83" t="s">
        <v>218</v>
      </c>
      <c r="B83" t="s">
        <v>219</v>
      </c>
      <c r="C83" t="s">
        <v>28</v>
      </c>
      <c r="D83" t="s">
        <v>29</v>
      </c>
      <c r="E83">
        <v>1299</v>
      </c>
      <c r="F83">
        <v>2</v>
      </c>
      <c r="G83">
        <v>2598</v>
      </c>
      <c r="H83" t="s">
        <v>15</v>
      </c>
      <c r="I83" t="s">
        <v>24</v>
      </c>
      <c r="J83" t="s">
        <v>17</v>
      </c>
      <c r="K83" t="s">
        <v>18</v>
      </c>
      <c r="L83" t="str">
        <f t="shared" si="2"/>
        <v>Jan</v>
      </c>
      <c r="M83" t="str">
        <f t="shared" si="3"/>
        <v>Monday</v>
      </c>
    </row>
    <row r="84" spans="1:13">
      <c r="A84" t="s">
        <v>220</v>
      </c>
      <c r="B84" t="s">
        <v>221</v>
      </c>
      <c r="C84" t="s">
        <v>87</v>
      </c>
      <c r="D84" t="s">
        <v>88</v>
      </c>
      <c r="E84">
        <v>5499</v>
      </c>
      <c r="F84">
        <v>3</v>
      </c>
      <c r="G84">
        <v>16497</v>
      </c>
      <c r="H84" t="s">
        <v>119</v>
      </c>
      <c r="I84" t="s">
        <v>67</v>
      </c>
      <c r="J84" t="s">
        <v>38</v>
      </c>
      <c r="K84" t="s">
        <v>33</v>
      </c>
      <c r="L84" t="str">
        <f t="shared" si="2"/>
        <v>Mar</v>
      </c>
      <c r="M84" t="str">
        <f t="shared" si="3"/>
        <v>Thursday</v>
      </c>
    </row>
    <row r="85" spans="1:13">
      <c r="A85" t="s">
        <v>222</v>
      </c>
      <c r="B85" t="s">
        <v>132</v>
      </c>
      <c r="C85" t="s">
        <v>101</v>
      </c>
      <c r="D85" t="s">
        <v>81</v>
      </c>
      <c r="E85">
        <v>499</v>
      </c>
      <c r="F85">
        <v>5</v>
      </c>
      <c r="G85">
        <v>2495</v>
      </c>
      <c r="H85" t="s">
        <v>66</v>
      </c>
      <c r="I85" t="s">
        <v>44</v>
      </c>
      <c r="J85" t="s">
        <v>25</v>
      </c>
      <c r="K85" t="s">
        <v>45</v>
      </c>
      <c r="L85" t="str">
        <f t="shared" si="2"/>
        <v>Mar</v>
      </c>
      <c r="M85" t="str">
        <f t="shared" si="3"/>
        <v>Friday</v>
      </c>
    </row>
    <row r="86" spans="1:13">
      <c r="A86" t="s">
        <v>223</v>
      </c>
      <c r="B86" t="s">
        <v>224</v>
      </c>
      <c r="C86" t="s">
        <v>48</v>
      </c>
      <c r="D86" t="s">
        <v>49</v>
      </c>
      <c r="E86">
        <v>699</v>
      </c>
      <c r="F86">
        <v>5</v>
      </c>
      <c r="G86">
        <v>3495</v>
      </c>
      <c r="H86" t="s">
        <v>56</v>
      </c>
      <c r="I86" t="s">
        <v>57</v>
      </c>
      <c r="J86" t="s">
        <v>32</v>
      </c>
      <c r="K86" t="s">
        <v>33</v>
      </c>
      <c r="L86" t="str">
        <f t="shared" si="2"/>
        <v>Feb</v>
      </c>
      <c r="M86" t="str">
        <f t="shared" si="3"/>
        <v>Tuesday</v>
      </c>
    </row>
    <row r="87" spans="1:13">
      <c r="A87" t="s">
        <v>225</v>
      </c>
      <c r="B87" t="s">
        <v>148</v>
      </c>
      <c r="C87" t="s">
        <v>76</v>
      </c>
      <c r="D87" t="s">
        <v>49</v>
      </c>
      <c r="E87">
        <v>1599</v>
      </c>
      <c r="F87">
        <v>3</v>
      </c>
      <c r="G87">
        <v>4797</v>
      </c>
      <c r="H87" t="s">
        <v>15</v>
      </c>
      <c r="I87" t="s">
        <v>82</v>
      </c>
      <c r="J87" t="s">
        <v>17</v>
      </c>
      <c r="K87" t="s">
        <v>45</v>
      </c>
      <c r="L87" t="str">
        <f t="shared" si="2"/>
        <v>May</v>
      </c>
      <c r="M87" t="str">
        <f t="shared" si="3"/>
        <v>Thursday</v>
      </c>
    </row>
    <row r="88" spans="1:13">
      <c r="A88" t="s">
        <v>226</v>
      </c>
      <c r="B88" t="s">
        <v>227</v>
      </c>
      <c r="C88" t="s">
        <v>60</v>
      </c>
      <c r="D88" t="s">
        <v>61</v>
      </c>
      <c r="E88">
        <v>899</v>
      </c>
      <c r="F88">
        <v>4</v>
      </c>
      <c r="G88">
        <v>3596</v>
      </c>
      <c r="H88" t="s">
        <v>30</v>
      </c>
      <c r="I88" t="s">
        <v>67</v>
      </c>
      <c r="J88" t="s">
        <v>90</v>
      </c>
      <c r="K88" t="s">
        <v>33</v>
      </c>
      <c r="L88" t="str">
        <f t="shared" si="2"/>
        <v>Jan</v>
      </c>
      <c r="M88" t="str">
        <f t="shared" si="3"/>
        <v>Sunday</v>
      </c>
    </row>
    <row r="89" spans="1:13">
      <c r="A89" t="s">
        <v>228</v>
      </c>
      <c r="B89" t="s">
        <v>229</v>
      </c>
      <c r="C89" t="s">
        <v>28</v>
      </c>
      <c r="D89" t="s">
        <v>29</v>
      </c>
      <c r="E89">
        <v>1299</v>
      </c>
      <c r="F89">
        <v>1</v>
      </c>
      <c r="G89">
        <v>1299</v>
      </c>
      <c r="H89" t="s">
        <v>15</v>
      </c>
      <c r="I89" t="s">
        <v>44</v>
      </c>
      <c r="J89" t="s">
        <v>38</v>
      </c>
      <c r="K89" t="s">
        <v>45</v>
      </c>
      <c r="L89" t="str">
        <f t="shared" si="2"/>
        <v>Jan</v>
      </c>
      <c r="M89" t="str">
        <f t="shared" si="3"/>
        <v>Friday</v>
      </c>
    </row>
    <row r="90" spans="1:13">
      <c r="A90" t="s">
        <v>230</v>
      </c>
      <c r="B90" t="s">
        <v>231</v>
      </c>
      <c r="C90" t="s">
        <v>21</v>
      </c>
      <c r="D90" t="s">
        <v>22</v>
      </c>
      <c r="E90">
        <v>1499</v>
      </c>
      <c r="F90">
        <v>4</v>
      </c>
      <c r="G90">
        <v>5996</v>
      </c>
      <c r="H90" t="s">
        <v>186</v>
      </c>
      <c r="I90" t="s">
        <v>77</v>
      </c>
      <c r="J90" t="s">
        <v>38</v>
      </c>
      <c r="K90" t="s">
        <v>33</v>
      </c>
      <c r="L90" t="str">
        <f t="shared" si="2"/>
        <v>May</v>
      </c>
      <c r="M90" t="str">
        <f t="shared" si="3"/>
        <v>Saturday</v>
      </c>
    </row>
    <row r="91" spans="1:13">
      <c r="A91" t="s">
        <v>232</v>
      </c>
      <c r="B91" t="s">
        <v>161</v>
      </c>
      <c r="C91" t="s">
        <v>21</v>
      </c>
      <c r="D91" t="s">
        <v>22</v>
      </c>
      <c r="E91">
        <v>1499</v>
      </c>
      <c r="F91">
        <v>5</v>
      </c>
      <c r="G91">
        <v>7495</v>
      </c>
      <c r="H91" t="s">
        <v>102</v>
      </c>
      <c r="I91" t="s">
        <v>31</v>
      </c>
      <c r="J91" t="s">
        <v>90</v>
      </c>
      <c r="K91" t="s">
        <v>18</v>
      </c>
      <c r="L91" t="str">
        <f t="shared" si="2"/>
        <v>Apr</v>
      </c>
      <c r="M91" t="str">
        <f t="shared" si="3"/>
        <v>Friday</v>
      </c>
    </row>
    <row r="92" spans="1:13">
      <c r="A92" t="s">
        <v>233</v>
      </c>
      <c r="B92" t="s">
        <v>234</v>
      </c>
      <c r="C92" t="s">
        <v>52</v>
      </c>
      <c r="D92" t="s">
        <v>53</v>
      </c>
      <c r="E92">
        <v>199</v>
      </c>
      <c r="F92">
        <v>4</v>
      </c>
      <c r="G92">
        <v>796</v>
      </c>
      <c r="H92" t="s">
        <v>56</v>
      </c>
      <c r="I92" t="s">
        <v>63</v>
      </c>
      <c r="J92" t="s">
        <v>25</v>
      </c>
      <c r="K92" t="s">
        <v>45</v>
      </c>
      <c r="L92" t="str">
        <f t="shared" si="2"/>
        <v>Mar</v>
      </c>
      <c r="M92" t="str">
        <f t="shared" si="3"/>
        <v>Monday</v>
      </c>
    </row>
    <row r="93" spans="1:13">
      <c r="A93" t="s">
        <v>235</v>
      </c>
      <c r="B93" t="s">
        <v>128</v>
      </c>
      <c r="C93" t="s">
        <v>28</v>
      </c>
      <c r="D93" t="s">
        <v>29</v>
      </c>
      <c r="E93">
        <v>1299</v>
      </c>
      <c r="F93">
        <v>3</v>
      </c>
      <c r="G93">
        <v>3897</v>
      </c>
      <c r="H93" t="s">
        <v>62</v>
      </c>
      <c r="I93" t="s">
        <v>77</v>
      </c>
      <c r="J93" t="s">
        <v>17</v>
      </c>
      <c r="K93" t="s">
        <v>18</v>
      </c>
      <c r="L93" t="str">
        <f t="shared" si="2"/>
        <v>Jun</v>
      </c>
      <c r="M93" t="str">
        <f t="shared" si="3"/>
        <v>Saturday</v>
      </c>
    </row>
    <row r="94" spans="1:13">
      <c r="A94" t="s">
        <v>236</v>
      </c>
      <c r="B94" t="s">
        <v>237</v>
      </c>
      <c r="C94" t="s">
        <v>60</v>
      </c>
      <c r="D94" t="s">
        <v>61</v>
      </c>
      <c r="E94">
        <v>899</v>
      </c>
      <c r="F94">
        <v>1</v>
      </c>
      <c r="G94">
        <v>899</v>
      </c>
      <c r="H94" t="s">
        <v>37</v>
      </c>
      <c r="I94" t="s">
        <v>98</v>
      </c>
      <c r="J94" t="s">
        <v>25</v>
      </c>
      <c r="K94" t="s">
        <v>33</v>
      </c>
      <c r="L94" t="str">
        <f t="shared" si="2"/>
        <v>Jan</v>
      </c>
      <c r="M94" t="str">
        <f t="shared" si="3"/>
        <v>Thursday</v>
      </c>
    </row>
    <row r="95" spans="1:13">
      <c r="A95" t="s">
        <v>238</v>
      </c>
      <c r="B95" t="s">
        <v>239</v>
      </c>
      <c r="C95" t="s">
        <v>87</v>
      </c>
      <c r="D95" t="s">
        <v>88</v>
      </c>
      <c r="E95">
        <v>5499</v>
      </c>
      <c r="F95">
        <v>4</v>
      </c>
      <c r="G95">
        <v>21996</v>
      </c>
      <c r="H95" t="s">
        <v>37</v>
      </c>
      <c r="I95" t="s">
        <v>98</v>
      </c>
      <c r="J95" t="s">
        <v>25</v>
      </c>
      <c r="K95" t="s">
        <v>18</v>
      </c>
      <c r="L95" t="str">
        <f t="shared" si="2"/>
        <v>May</v>
      </c>
      <c r="M95" t="str">
        <f t="shared" si="3"/>
        <v>Sunday</v>
      </c>
    </row>
    <row r="96" spans="1:13">
      <c r="A96" t="s">
        <v>240</v>
      </c>
      <c r="B96" t="s">
        <v>241</v>
      </c>
      <c r="C96" t="s">
        <v>70</v>
      </c>
      <c r="D96" t="s">
        <v>29</v>
      </c>
      <c r="E96">
        <v>799</v>
      </c>
      <c r="F96">
        <v>3</v>
      </c>
      <c r="G96">
        <v>2397</v>
      </c>
      <c r="H96" t="s">
        <v>157</v>
      </c>
      <c r="I96" t="s">
        <v>24</v>
      </c>
      <c r="J96" t="s">
        <v>25</v>
      </c>
      <c r="K96" t="s">
        <v>45</v>
      </c>
      <c r="L96" t="str">
        <f t="shared" si="2"/>
        <v>Jan</v>
      </c>
      <c r="M96" t="str">
        <f t="shared" si="3"/>
        <v>Tuesday</v>
      </c>
    </row>
    <row r="97" spans="1:13">
      <c r="A97" t="s">
        <v>242</v>
      </c>
      <c r="B97" t="s">
        <v>243</v>
      </c>
      <c r="C97" t="s">
        <v>70</v>
      </c>
      <c r="D97" t="s">
        <v>29</v>
      </c>
      <c r="E97">
        <v>799</v>
      </c>
      <c r="F97">
        <v>4</v>
      </c>
      <c r="G97">
        <v>3196</v>
      </c>
      <c r="H97" t="s">
        <v>157</v>
      </c>
      <c r="I97" t="s">
        <v>77</v>
      </c>
      <c r="J97" t="s">
        <v>32</v>
      </c>
      <c r="K97" t="s">
        <v>18</v>
      </c>
      <c r="L97" t="str">
        <f t="shared" si="2"/>
        <v>Feb</v>
      </c>
      <c r="M97" t="str">
        <f t="shared" si="3"/>
        <v>Friday</v>
      </c>
    </row>
    <row r="98" spans="1:13">
      <c r="A98" t="s">
        <v>244</v>
      </c>
      <c r="B98" t="s">
        <v>185</v>
      </c>
      <c r="C98" t="s">
        <v>21</v>
      </c>
      <c r="D98" t="s">
        <v>22</v>
      </c>
      <c r="E98">
        <v>1499</v>
      </c>
      <c r="F98">
        <v>3</v>
      </c>
      <c r="G98">
        <v>4497</v>
      </c>
      <c r="H98" t="s">
        <v>119</v>
      </c>
      <c r="I98" t="s">
        <v>82</v>
      </c>
      <c r="J98" t="s">
        <v>90</v>
      </c>
      <c r="K98" t="s">
        <v>45</v>
      </c>
      <c r="L98" t="str">
        <f t="shared" si="2"/>
        <v>Mar</v>
      </c>
      <c r="M98" t="str">
        <f t="shared" si="3"/>
        <v>Monday</v>
      </c>
    </row>
    <row r="99" spans="1:13">
      <c r="A99" t="s">
        <v>245</v>
      </c>
      <c r="B99" t="s">
        <v>246</v>
      </c>
      <c r="C99" t="s">
        <v>80</v>
      </c>
      <c r="D99" t="s">
        <v>81</v>
      </c>
      <c r="E99">
        <v>299</v>
      </c>
      <c r="F99">
        <v>4</v>
      </c>
      <c r="G99">
        <v>1196</v>
      </c>
      <c r="H99" t="s">
        <v>95</v>
      </c>
      <c r="I99" t="s">
        <v>24</v>
      </c>
      <c r="J99" t="s">
        <v>17</v>
      </c>
      <c r="K99" t="s">
        <v>18</v>
      </c>
      <c r="L99" t="str">
        <f t="shared" si="2"/>
        <v>Jan</v>
      </c>
      <c r="M99" t="str">
        <f t="shared" si="3"/>
        <v>Tuesday</v>
      </c>
    </row>
    <row r="100" spans="1:13">
      <c r="A100" t="s">
        <v>247</v>
      </c>
      <c r="B100" t="s">
        <v>128</v>
      </c>
      <c r="C100" t="s">
        <v>122</v>
      </c>
      <c r="D100" t="s">
        <v>29</v>
      </c>
      <c r="E100">
        <v>1299</v>
      </c>
      <c r="F100">
        <v>5</v>
      </c>
      <c r="G100">
        <v>6495</v>
      </c>
      <c r="H100" t="s">
        <v>186</v>
      </c>
      <c r="I100" t="s">
        <v>24</v>
      </c>
      <c r="J100" t="s">
        <v>17</v>
      </c>
      <c r="K100" t="s">
        <v>18</v>
      </c>
      <c r="L100" t="str">
        <f t="shared" si="2"/>
        <v>Jun</v>
      </c>
      <c r="M100" t="str">
        <f t="shared" si="3"/>
        <v>Saturday</v>
      </c>
    </row>
    <row r="101" spans="1:13">
      <c r="A101" t="s">
        <v>248</v>
      </c>
      <c r="B101" t="s">
        <v>196</v>
      </c>
      <c r="C101" t="s">
        <v>162</v>
      </c>
      <c r="D101" t="s">
        <v>29</v>
      </c>
      <c r="E101">
        <v>1799</v>
      </c>
      <c r="F101">
        <v>3</v>
      </c>
      <c r="G101">
        <v>5397</v>
      </c>
      <c r="H101" t="s">
        <v>119</v>
      </c>
      <c r="I101" t="s">
        <v>77</v>
      </c>
      <c r="J101" t="s">
        <v>25</v>
      </c>
      <c r="K101" t="s">
        <v>18</v>
      </c>
      <c r="L101" t="str">
        <f t="shared" si="2"/>
        <v>May</v>
      </c>
      <c r="M101" t="str">
        <f t="shared" si="3"/>
        <v>Friday</v>
      </c>
    </row>
    <row r="102" spans="1:13">
      <c r="A102" t="s">
        <v>249</v>
      </c>
      <c r="B102" t="s">
        <v>250</v>
      </c>
      <c r="C102" t="s">
        <v>101</v>
      </c>
      <c r="D102" t="s">
        <v>81</v>
      </c>
      <c r="E102">
        <v>499</v>
      </c>
      <c r="F102">
        <v>5</v>
      </c>
      <c r="G102">
        <v>2495</v>
      </c>
      <c r="H102" t="s">
        <v>95</v>
      </c>
      <c r="I102" t="s">
        <v>24</v>
      </c>
      <c r="J102" t="s">
        <v>38</v>
      </c>
      <c r="K102" t="s">
        <v>45</v>
      </c>
      <c r="L102" t="str">
        <f t="shared" si="2"/>
        <v>Jan</v>
      </c>
      <c r="M102" t="str">
        <f t="shared" si="3"/>
        <v>Thursday</v>
      </c>
    </row>
    <row r="103" spans="1:13">
      <c r="A103" t="s">
        <v>251</v>
      </c>
      <c r="B103" t="s">
        <v>75</v>
      </c>
      <c r="C103" t="s">
        <v>162</v>
      </c>
      <c r="D103" t="s">
        <v>29</v>
      </c>
      <c r="E103">
        <v>1799</v>
      </c>
      <c r="F103">
        <v>4</v>
      </c>
      <c r="G103">
        <v>7196</v>
      </c>
      <c r="H103" t="s">
        <v>157</v>
      </c>
      <c r="I103" t="s">
        <v>82</v>
      </c>
      <c r="J103" t="s">
        <v>38</v>
      </c>
      <c r="K103" t="s">
        <v>18</v>
      </c>
      <c r="L103" t="str">
        <f t="shared" si="2"/>
        <v>Jun</v>
      </c>
      <c r="M103" t="str">
        <f t="shared" si="3"/>
        <v>Thursday</v>
      </c>
    </row>
    <row r="104" spans="1:13">
      <c r="A104" t="s">
        <v>252</v>
      </c>
      <c r="B104" t="s">
        <v>84</v>
      </c>
      <c r="C104" t="s">
        <v>21</v>
      </c>
      <c r="D104" t="s">
        <v>22</v>
      </c>
      <c r="E104">
        <v>1499</v>
      </c>
      <c r="F104">
        <v>3</v>
      </c>
      <c r="G104">
        <v>4497</v>
      </c>
      <c r="H104" t="s">
        <v>15</v>
      </c>
      <c r="I104" t="s">
        <v>98</v>
      </c>
      <c r="J104" t="s">
        <v>25</v>
      </c>
      <c r="K104" t="s">
        <v>18</v>
      </c>
      <c r="L104" t="str">
        <f t="shared" si="2"/>
        <v>Mar</v>
      </c>
      <c r="M104" t="str">
        <f t="shared" si="3"/>
        <v>Saturday</v>
      </c>
    </row>
    <row r="105" spans="1:13">
      <c r="A105" t="s">
        <v>253</v>
      </c>
      <c r="B105" t="s">
        <v>100</v>
      </c>
      <c r="C105" t="s">
        <v>80</v>
      </c>
      <c r="D105" t="s">
        <v>81</v>
      </c>
      <c r="E105">
        <v>299</v>
      </c>
      <c r="F105">
        <v>4</v>
      </c>
      <c r="G105">
        <v>1196</v>
      </c>
      <c r="H105" t="s">
        <v>37</v>
      </c>
      <c r="I105" t="s">
        <v>105</v>
      </c>
      <c r="J105" t="s">
        <v>38</v>
      </c>
      <c r="K105" t="s">
        <v>18</v>
      </c>
      <c r="L105" t="str">
        <f t="shared" si="2"/>
        <v>Jan</v>
      </c>
      <c r="M105" t="str">
        <f t="shared" si="3"/>
        <v>Friday</v>
      </c>
    </row>
    <row r="106" spans="1:13">
      <c r="A106" t="s">
        <v>254</v>
      </c>
      <c r="B106" t="s">
        <v>255</v>
      </c>
      <c r="C106" t="s">
        <v>162</v>
      </c>
      <c r="D106" t="s">
        <v>29</v>
      </c>
      <c r="E106">
        <v>1799</v>
      </c>
      <c r="F106">
        <v>5</v>
      </c>
      <c r="G106">
        <v>8995</v>
      </c>
      <c r="H106" t="s">
        <v>157</v>
      </c>
      <c r="I106" t="s">
        <v>125</v>
      </c>
      <c r="J106" t="s">
        <v>38</v>
      </c>
      <c r="K106" t="s">
        <v>18</v>
      </c>
      <c r="L106" t="str">
        <f t="shared" si="2"/>
        <v>Mar</v>
      </c>
      <c r="M106" t="str">
        <f t="shared" si="3"/>
        <v>Thursday</v>
      </c>
    </row>
    <row r="107" spans="1:13">
      <c r="A107" t="s">
        <v>256</v>
      </c>
      <c r="B107" t="s">
        <v>257</v>
      </c>
      <c r="C107" t="s">
        <v>162</v>
      </c>
      <c r="D107" t="s">
        <v>29</v>
      </c>
      <c r="E107">
        <v>1799</v>
      </c>
      <c r="F107">
        <v>3</v>
      </c>
      <c r="G107">
        <v>5397</v>
      </c>
      <c r="H107" t="s">
        <v>102</v>
      </c>
      <c r="I107" t="s">
        <v>125</v>
      </c>
      <c r="J107" t="s">
        <v>38</v>
      </c>
      <c r="K107" t="s">
        <v>45</v>
      </c>
      <c r="L107" t="str">
        <f t="shared" si="2"/>
        <v>Apr</v>
      </c>
      <c r="M107" t="str">
        <f t="shared" si="3"/>
        <v>Wednesday</v>
      </c>
    </row>
    <row r="108" spans="1:13">
      <c r="A108" t="s">
        <v>258</v>
      </c>
      <c r="B108" t="s">
        <v>183</v>
      </c>
      <c r="C108" t="s">
        <v>60</v>
      </c>
      <c r="D108" t="s">
        <v>61</v>
      </c>
      <c r="E108">
        <v>899</v>
      </c>
      <c r="F108">
        <v>2</v>
      </c>
      <c r="G108">
        <v>1798</v>
      </c>
      <c r="H108" t="s">
        <v>186</v>
      </c>
      <c r="I108" t="s">
        <v>82</v>
      </c>
      <c r="J108" t="s">
        <v>90</v>
      </c>
      <c r="K108" t="s">
        <v>18</v>
      </c>
      <c r="L108" t="str">
        <f t="shared" si="2"/>
        <v>Jan</v>
      </c>
      <c r="M108" t="str">
        <f t="shared" si="3"/>
        <v>Tuesday</v>
      </c>
    </row>
    <row r="109" spans="1:13">
      <c r="A109" t="s">
        <v>259</v>
      </c>
      <c r="B109" t="s">
        <v>260</v>
      </c>
      <c r="C109" t="s">
        <v>135</v>
      </c>
      <c r="D109" t="s">
        <v>29</v>
      </c>
      <c r="E109">
        <v>3999</v>
      </c>
      <c r="F109">
        <v>5</v>
      </c>
      <c r="G109">
        <v>19995</v>
      </c>
      <c r="H109" t="s">
        <v>186</v>
      </c>
      <c r="I109" t="s">
        <v>16</v>
      </c>
      <c r="J109" t="s">
        <v>32</v>
      </c>
      <c r="K109" t="s">
        <v>18</v>
      </c>
      <c r="L109" t="str">
        <f t="shared" si="2"/>
        <v>Jun</v>
      </c>
      <c r="M109" t="str">
        <f t="shared" si="3"/>
        <v>Wednesday</v>
      </c>
    </row>
    <row r="110" spans="1:13">
      <c r="A110" t="s">
        <v>261</v>
      </c>
      <c r="B110" t="s">
        <v>139</v>
      </c>
      <c r="C110" t="s">
        <v>60</v>
      </c>
      <c r="D110" t="s">
        <v>61</v>
      </c>
      <c r="E110">
        <v>899</v>
      </c>
      <c r="F110">
        <v>4</v>
      </c>
      <c r="G110">
        <v>3596</v>
      </c>
      <c r="H110" t="s">
        <v>71</v>
      </c>
      <c r="I110" t="s">
        <v>125</v>
      </c>
      <c r="J110" t="s">
        <v>17</v>
      </c>
      <c r="K110" t="s">
        <v>18</v>
      </c>
      <c r="L110" t="str">
        <f t="shared" si="2"/>
        <v>Mar</v>
      </c>
      <c r="M110" t="str">
        <f t="shared" si="3"/>
        <v>Saturday</v>
      </c>
    </row>
    <row r="111" spans="1:13">
      <c r="A111" t="s">
        <v>262</v>
      </c>
      <c r="B111" t="s">
        <v>250</v>
      </c>
      <c r="C111" t="s">
        <v>28</v>
      </c>
      <c r="D111" t="s">
        <v>29</v>
      </c>
      <c r="E111">
        <v>1299</v>
      </c>
      <c r="F111">
        <v>3</v>
      </c>
      <c r="G111">
        <v>3897</v>
      </c>
      <c r="H111" t="s">
        <v>56</v>
      </c>
      <c r="I111" t="s">
        <v>67</v>
      </c>
      <c r="J111" t="s">
        <v>25</v>
      </c>
      <c r="K111" t="s">
        <v>18</v>
      </c>
      <c r="L111" t="str">
        <f t="shared" si="2"/>
        <v>Jan</v>
      </c>
      <c r="M111" t="str">
        <f t="shared" si="3"/>
        <v>Thursday</v>
      </c>
    </row>
    <row r="112" spans="1:13">
      <c r="A112" t="s">
        <v>263</v>
      </c>
      <c r="B112" t="s">
        <v>185</v>
      </c>
      <c r="C112" t="s">
        <v>60</v>
      </c>
      <c r="D112" t="s">
        <v>61</v>
      </c>
      <c r="E112">
        <v>899</v>
      </c>
      <c r="F112">
        <v>4</v>
      </c>
      <c r="G112">
        <v>3596</v>
      </c>
      <c r="H112" t="s">
        <v>89</v>
      </c>
      <c r="I112" t="s">
        <v>125</v>
      </c>
      <c r="J112" t="s">
        <v>25</v>
      </c>
      <c r="K112" t="s">
        <v>45</v>
      </c>
      <c r="L112" t="str">
        <f t="shared" si="2"/>
        <v>Mar</v>
      </c>
      <c r="M112" t="str">
        <f t="shared" si="3"/>
        <v>Monday</v>
      </c>
    </row>
    <row r="113" spans="1:13">
      <c r="A113" t="s">
        <v>264</v>
      </c>
      <c r="B113" t="s">
        <v>265</v>
      </c>
      <c r="C113" t="s">
        <v>21</v>
      </c>
      <c r="D113" t="s">
        <v>22</v>
      </c>
      <c r="E113">
        <v>1499</v>
      </c>
      <c r="F113">
        <v>4</v>
      </c>
      <c r="G113">
        <v>5996</v>
      </c>
      <c r="H113" t="s">
        <v>15</v>
      </c>
      <c r="I113" t="s">
        <v>67</v>
      </c>
      <c r="J113" t="s">
        <v>38</v>
      </c>
      <c r="K113" t="s">
        <v>18</v>
      </c>
      <c r="L113" t="str">
        <f t="shared" si="2"/>
        <v>Apr</v>
      </c>
      <c r="M113" t="str">
        <f t="shared" si="3"/>
        <v>Sunday</v>
      </c>
    </row>
    <row r="114" spans="1:13">
      <c r="A114" t="s">
        <v>266</v>
      </c>
      <c r="B114" t="s">
        <v>267</v>
      </c>
      <c r="C114" t="s">
        <v>21</v>
      </c>
      <c r="D114" t="s">
        <v>22</v>
      </c>
      <c r="E114">
        <v>1499</v>
      </c>
      <c r="F114">
        <v>3</v>
      </c>
      <c r="G114">
        <v>4497</v>
      </c>
      <c r="H114" t="s">
        <v>71</v>
      </c>
      <c r="I114" t="s">
        <v>57</v>
      </c>
      <c r="J114" t="s">
        <v>38</v>
      </c>
      <c r="K114" t="s">
        <v>18</v>
      </c>
      <c r="L114" t="str">
        <f t="shared" si="2"/>
        <v>Mar</v>
      </c>
      <c r="M114" t="str">
        <f t="shared" si="3"/>
        <v>Saturday</v>
      </c>
    </row>
    <row r="115" spans="1:13">
      <c r="A115" t="s">
        <v>268</v>
      </c>
      <c r="B115" t="s">
        <v>269</v>
      </c>
      <c r="C115" t="s">
        <v>162</v>
      </c>
      <c r="D115" t="s">
        <v>29</v>
      </c>
      <c r="E115">
        <v>1799</v>
      </c>
      <c r="F115">
        <v>3</v>
      </c>
      <c r="G115">
        <v>5397</v>
      </c>
      <c r="H115" t="s">
        <v>15</v>
      </c>
      <c r="I115" t="s">
        <v>105</v>
      </c>
      <c r="J115" t="s">
        <v>25</v>
      </c>
      <c r="K115" t="s">
        <v>18</v>
      </c>
      <c r="L115" t="str">
        <f t="shared" si="2"/>
        <v>Jan</v>
      </c>
      <c r="M115" t="str">
        <f t="shared" si="3"/>
        <v>Saturday</v>
      </c>
    </row>
    <row r="116" spans="1:13">
      <c r="A116" t="s">
        <v>270</v>
      </c>
      <c r="B116" t="s">
        <v>35</v>
      </c>
      <c r="C116" t="s">
        <v>60</v>
      </c>
      <c r="D116" t="s">
        <v>61</v>
      </c>
      <c r="E116">
        <v>899</v>
      </c>
      <c r="F116">
        <v>4</v>
      </c>
      <c r="G116">
        <v>3596</v>
      </c>
      <c r="H116" t="s">
        <v>89</v>
      </c>
      <c r="I116" t="s">
        <v>31</v>
      </c>
      <c r="J116" t="s">
        <v>17</v>
      </c>
      <c r="K116" t="s">
        <v>18</v>
      </c>
      <c r="L116" t="str">
        <f t="shared" si="2"/>
        <v>Apr</v>
      </c>
      <c r="M116" t="str">
        <f t="shared" si="3"/>
        <v>Saturday</v>
      </c>
    </row>
    <row r="117" spans="1:13">
      <c r="A117" t="s">
        <v>271</v>
      </c>
      <c r="B117" t="s">
        <v>272</v>
      </c>
      <c r="C117" t="s">
        <v>101</v>
      </c>
      <c r="D117" t="s">
        <v>81</v>
      </c>
      <c r="E117">
        <v>499</v>
      </c>
      <c r="F117">
        <v>1</v>
      </c>
      <c r="G117">
        <v>499</v>
      </c>
      <c r="H117" t="s">
        <v>37</v>
      </c>
      <c r="I117" t="s">
        <v>63</v>
      </c>
      <c r="J117" t="s">
        <v>32</v>
      </c>
      <c r="K117" t="s">
        <v>18</v>
      </c>
      <c r="L117" t="str">
        <f t="shared" si="2"/>
        <v>Feb</v>
      </c>
      <c r="M117" t="str">
        <f t="shared" si="3"/>
        <v>Monday</v>
      </c>
    </row>
    <row r="118" spans="1:13">
      <c r="A118" t="s">
        <v>273</v>
      </c>
      <c r="B118" t="s">
        <v>274</v>
      </c>
      <c r="C118" t="s">
        <v>21</v>
      </c>
      <c r="D118" t="s">
        <v>22</v>
      </c>
      <c r="E118">
        <v>1499</v>
      </c>
      <c r="F118">
        <v>3</v>
      </c>
      <c r="G118">
        <v>4497</v>
      </c>
      <c r="H118" t="s">
        <v>89</v>
      </c>
      <c r="I118" t="s">
        <v>16</v>
      </c>
      <c r="J118" t="s">
        <v>32</v>
      </c>
      <c r="K118" t="s">
        <v>45</v>
      </c>
      <c r="L118" t="str">
        <f t="shared" si="2"/>
        <v>Mar</v>
      </c>
      <c r="M118" t="str">
        <f t="shared" si="3"/>
        <v>Sunday</v>
      </c>
    </row>
    <row r="119" spans="1:13">
      <c r="A119" t="s">
        <v>275</v>
      </c>
      <c r="B119" t="s">
        <v>276</v>
      </c>
      <c r="C119" t="s">
        <v>80</v>
      </c>
      <c r="D119" t="s">
        <v>81</v>
      </c>
      <c r="E119">
        <v>299</v>
      </c>
      <c r="F119">
        <v>4</v>
      </c>
      <c r="G119">
        <v>1196</v>
      </c>
      <c r="H119" t="s">
        <v>119</v>
      </c>
      <c r="I119" t="s">
        <v>44</v>
      </c>
      <c r="J119" t="s">
        <v>17</v>
      </c>
      <c r="K119" t="s">
        <v>18</v>
      </c>
      <c r="L119" t="str">
        <f t="shared" si="2"/>
        <v>Feb</v>
      </c>
      <c r="M119" t="str">
        <f t="shared" si="3"/>
        <v>Saturday</v>
      </c>
    </row>
    <row r="120" spans="1:13">
      <c r="A120" t="s">
        <v>277</v>
      </c>
      <c r="B120" t="s">
        <v>92</v>
      </c>
      <c r="C120" t="s">
        <v>122</v>
      </c>
      <c r="D120" t="s">
        <v>29</v>
      </c>
      <c r="E120">
        <v>1299</v>
      </c>
      <c r="F120">
        <v>4</v>
      </c>
      <c r="G120">
        <v>5196</v>
      </c>
      <c r="H120" t="s">
        <v>37</v>
      </c>
      <c r="I120" t="s">
        <v>44</v>
      </c>
      <c r="J120" t="s">
        <v>17</v>
      </c>
      <c r="K120" t="s">
        <v>18</v>
      </c>
      <c r="L120" t="str">
        <f t="shared" si="2"/>
        <v>Feb</v>
      </c>
      <c r="M120" t="str">
        <f t="shared" si="3"/>
        <v>Saturday</v>
      </c>
    </row>
    <row r="121" spans="1:13">
      <c r="A121" t="s">
        <v>278</v>
      </c>
      <c r="B121" t="s">
        <v>279</v>
      </c>
      <c r="C121" t="s">
        <v>101</v>
      </c>
      <c r="D121" t="s">
        <v>81</v>
      </c>
      <c r="E121">
        <v>499</v>
      </c>
      <c r="F121">
        <v>5</v>
      </c>
      <c r="G121">
        <v>2495</v>
      </c>
      <c r="H121" t="s">
        <v>71</v>
      </c>
      <c r="I121" t="s">
        <v>98</v>
      </c>
      <c r="J121" t="s">
        <v>17</v>
      </c>
      <c r="K121" t="s">
        <v>18</v>
      </c>
      <c r="L121" t="str">
        <f t="shared" si="2"/>
        <v>May</v>
      </c>
      <c r="M121" t="str">
        <f t="shared" si="3"/>
        <v>Sunday</v>
      </c>
    </row>
    <row r="122" spans="1:13">
      <c r="A122" t="s">
        <v>280</v>
      </c>
      <c r="B122" t="s">
        <v>281</v>
      </c>
      <c r="C122" t="s">
        <v>13</v>
      </c>
      <c r="D122" t="s">
        <v>14</v>
      </c>
      <c r="E122">
        <v>2499</v>
      </c>
      <c r="F122">
        <v>1</v>
      </c>
      <c r="G122">
        <v>2499</v>
      </c>
      <c r="H122" t="s">
        <v>119</v>
      </c>
      <c r="I122" t="s">
        <v>44</v>
      </c>
      <c r="J122" t="s">
        <v>32</v>
      </c>
      <c r="K122" t="s">
        <v>45</v>
      </c>
      <c r="L122" t="str">
        <f t="shared" si="2"/>
        <v>Apr</v>
      </c>
      <c r="M122" t="str">
        <f t="shared" si="3"/>
        <v>Saturday</v>
      </c>
    </row>
    <row r="123" spans="1:13">
      <c r="A123" t="s">
        <v>282</v>
      </c>
      <c r="B123" t="s">
        <v>237</v>
      </c>
      <c r="C123" t="s">
        <v>80</v>
      </c>
      <c r="D123" t="s">
        <v>81</v>
      </c>
      <c r="E123">
        <v>299</v>
      </c>
      <c r="F123">
        <v>3</v>
      </c>
      <c r="G123">
        <v>897</v>
      </c>
      <c r="H123" t="s">
        <v>157</v>
      </c>
      <c r="I123" t="s">
        <v>31</v>
      </c>
      <c r="J123" t="s">
        <v>17</v>
      </c>
      <c r="K123" t="s">
        <v>18</v>
      </c>
      <c r="L123" t="str">
        <f t="shared" si="2"/>
        <v>Jan</v>
      </c>
      <c r="M123" t="str">
        <f t="shared" si="3"/>
        <v>Thursday</v>
      </c>
    </row>
    <row r="124" spans="1:13">
      <c r="A124" t="s">
        <v>283</v>
      </c>
      <c r="B124" t="s">
        <v>132</v>
      </c>
      <c r="C124" t="s">
        <v>135</v>
      </c>
      <c r="D124" t="s">
        <v>29</v>
      </c>
      <c r="E124">
        <v>3999</v>
      </c>
      <c r="F124">
        <v>1</v>
      </c>
      <c r="G124">
        <v>3999</v>
      </c>
      <c r="H124" t="s">
        <v>30</v>
      </c>
      <c r="I124" t="s">
        <v>16</v>
      </c>
      <c r="J124" t="s">
        <v>90</v>
      </c>
      <c r="K124" t="s">
        <v>18</v>
      </c>
      <c r="L124" t="str">
        <f t="shared" si="2"/>
        <v>Mar</v>
      </c>
      <c r="M124" t="str">
        <f t="shared" si="3"/>
        <v>Friday</v>
      </c>
    </row>
    <row r="125" spans="1:13">
      <c r="A125" t="s">
        <v>284</v>
      </c>
      <c r="B125" t="s">
        <v>171</v>
      </c>
      <c r="C125" t="s">
        <v>80</v>
      </c>
      <c r="D125" t="s">
        <v>81</v>
      </c>
      <c r="E125">
        <v>299</v>
      </c>
      <c r="F125">
        <v>1</v>
      </c>
      <c r="G125">
        <v>299</v>
      </c>
      <c r="H125" t="s">
        <v>95</v>
      </c>
      <c r="I125" t="s">
        <v>67</v>
      </c>
      <c r="J125" t="s">
        <v>17</v>
      </c>
      <c r="K125" t="s">
        <v>33</v>
      </c>
      <c r="L125" t="str">
        <f t="shared" si="2"/>
        <v>Jun</v>
      </c>
      <c r="M125" t="str">
        <f t="shared" si="3"/>
        <v>Monday</v>
      </c>
    </row>
    <row r="126" spans="1:13">
      <c r="A126" t="s">
        <v>285</v>
      </c>
      <c r="B126" t="s">
        <v>281</v>
      </c>
      <c r="C126" t="s">
        <v>52</v>
      </c>
      <c r="D126" t="s">
        <v>53</v>
      </c>
      <c r="E126">
        <v>199</v>
      </c>
      <c r="F126">
        <v>2</v>
      </c>
      <c r="G126">
        <v>398</v>
      </c>
      <c r="H126" t="s">
        <v>102</v>
      </c>
      <c r="I126" t="s">
        <v>63</v>
      </c>
      <c r="J126" t="s">
        <v>17</v>
      </c>
      <c r="K126" t="s">
        <v>18</v>
      </c>
      <c r="L126" t="str">
        <f t="shared" si="2"/>
        <v>Apr</v>
      </c>
      <c r="M126" t="str">
        <f t="shared" si="3"/>
        <v>Saturday</v>
      </c>
    </row>
    <row r="127" spans="1:13">
      <c r="A127" t="s">
        <v>286</v>
      </c>
      <c r="B127" t="s">
        <v>152</v>
      </c>
      <c r="C127" t="s">
        <v>162</v>
      </c>
      <c r="D127" t="s">
        <v>29</v>
      </c>
      <c r="E127">
        <v>1799</v>
      </c>
      <c r="F127">
        <v>3</v>
      </c>
      <c r="G127">
        <v>5397</v>
      </c>
      <c r="H127" t="s">
        <v>119</v>
      </c>
      <c r="I127" t="s">
        <v>31</v>
      </c>
      <c r="J127" t="s">
        <v>38</v>
      </c>
      <c r="K127" t="s">
        <v>45</v>
      </c>
      <c r="L127" t="str">
        <f t="shared" si="2"/>
        <v>Apr</v>
      </c>
      <c r="M127" t="str">
        <f t="shared" si="3"/>
        <v>Saturday</v>
      </c>
    </row>
    <row r="128" spans="1:13">
      <c r="A128" t="s">
        <v>287</v>
      </c>
      <c r="B128" t="s">
        <v>185</v>
      </c>
      <c r="C128" t="s">
        <v>87</v>
      </c>
      <c r="D128" t="s">
        <v>88</v>
      </c>
      <c r="E128">
        <v>5499</v>
      </c>
      <c r="F128">
        <v>4</v>
      </c>
      <c r="G128">
        <v>21996</v>
      </c>
      <c r="H128" t="s">
        <v>186</v>
      </c>
      <c r="I128" t="s">
        <v>63</v>
      </c>
      <c r="J128" t="s">
        <v>17</v>
      </c>
      <c r="K128" t="s">
        <v>18</v>
      </c>
      <c r="L128" t="str">
        <f t="shared" si="2"/>
        <v>Mar</v>
      </c>
      <c r="M128" t="str">
        <f t="shared" si="3"/>
        <v>Monday</v>
      </c>
    </row>
    <row r="129" spans="1:13">
      <c r="A129" t="s">
        <v>288</v>
      </c>
      <c r="B129" t="s">
        <v>234</v>
      </c>
      <c r="C129" t="s">
        <v>52</v>
      </c>
      <c r="D129" t="s">
        <v>53</v>
      </c>
      <c r="E129">
        <v>199</v>
      </c>
      <c r="F129">
        <v>3</v>
      </c>
      <c r="G129">
        <v>597</v>
      </c>
      <c r="H129" t="s">
        <v>30</v>
      </c>
      <c r="I129" t="s">
        <v>77</v>
      </c>
      <c r="J129" t="s">
        <v>32</v>
      </c>
      <c r="K129" t="s">
        <v>18</v>
      </c>
      <c r="L129" t="str">
        <f t="shared" si="2"/>
        <v>Mar</v>
      </c>
      <c r="M129" t="str">
        <f t="shared" si="3"/>
        <v>Monday</v>
      </c>
    </row>
    <row r="130" spans="1:13">
      <c r="A130" t="s">
        <v>289</v>
      </c>
      <c r="B130" t="s">
        <v>229</v>
      </c>
      <c r="C130" t="s">
        <v>21</v>
      </c>
      <c r="D130" t="s">
        <v>22</v>
      </c>
      <c r="E130">
        <v>1499</v>
      </c>
      <c r="F130">
        <v>3</v>
      </c>
      <c r="G130">
        <v>4497</v>
      </c>
      <c r="H130" t="s">
        <v>119</v>
      </c>
      <c r="I130" t="s">
        <v>31</v>
      </c>
      <c r="J130" t="s">
        <v>90</v>
      </c>
      <c r="K130" t="s">
        <v>18</v>
      </c>
      <c r="L130" t="str">
        <f t="shared" si="2"/>
        <v>Jan</v>
      </c>
      <c r="M130" t="str">
        <f t="shared" si="3"/>
        <v>Friday</v>
      </c>
    </row>
    <row r="131" spans="1:13">
      <c r="A131" t="s">
        <v>290</v>
      </c>
      <c r="B131" t="s">
        <v>291</v>
      </c>
      <c r="C131" t="s">
        <v>21</v>
      </c>
      <c r="D131" t="s">
        <v>22</v>
      </c>
      <c r="E131">
        <v>1499</v>
      </c>
      <c r="F131">
        <v>1</v>
      </c>
      <c r="G131">
        <v>1499</v>
      </c>
      <c r="H131" t="s">
        <v>89</v>
      </c>
      <c r="I131" t="s">
        <v>125</v>
      </c>
      <c r="J131" t="s">
        <v>25</v>
      </c>
      <c r="K131" t="s">
        <v>18</v>
      </c>
      <c r="L131" t="str">
        <f t="shared" ref="L131:L194" si="4">TEXT(B131,"MMM")</f>
        <v>Apr</v>
      </c>
      <c r="M131" t="str">
        <f t="shared" ref="M131:M194" si="5">TEXT(B131,"dddd")</f>
        <v>Saturday</v>
      </c>
    </row>
    <row r="132" spans="1:13">
      <c r="A132" t="s">
        <v>292</v>
      </c>
      <c r="B132" t="s">
        <v>293</v>
      </c>
      <c r="C132" t="s">
        <v>60</v>
      </c>
      <c r="D132" t="s">
        <v>61</v>
      </c>
      <c r="E132">
        <v>899</v>
      </c>
      <c r="F132">
        <v>3</v>
      </c>
      <c r="G132">
        <v>2697</v>
      </c>
      <c r="H132" t="s">
        <v>56</v>
      </c>
      <c r="I132" t="s">
        <v>24</v>
      </c>
      <c r="J132" t="s">
        <v>17</v>
      </c>
      <c r="K132" t="s">
        <v>45</v>
      </c>
      <c r="L132" t="str">
        <f t="shared" si="4"/>
        <v>Apr</v>
      </c>
      <c r="M132" t="str">
        <f t="shared" si="5"/>
        <v>Monday</v>
      </c>
    </row>
    <row r="133" spans="1:13">
      <c r="A133" t="s">
        <v>294</v>
      </c>
      <c r="B133" t="s">
        <v>295</v>
      </c>
      <c r="C133" t="s">
        <v>87</v>
      </c>
      <c r="D133" t="s">
        <v>88</v>
      </c>
      <c r="E133">
        <v>5499</v>
      </c>
      <c r="F133">
        <v>1</v>
      </c>
      <c r="G133">
        <v>5499</v>
      </c>
      <c r="H133" t="s">
        <v>186</v>
      </c>
      <c r="I133" t="s">
        <v>31</v>
      </c>
      <c r="J133" t="s">
        <v>25</v>
      </c>
      <c r="K133" t="s">
        <v>18</v>
      </c>
      <c r="L133" t="str">
        <f t="shared" si="4"/>
        <v>May</v>
      </c>
      <c r="M133" t="str">
        <f t="shared" si="5"/>
        <v>Tuesday</v>
      </c>
    </row>
    <row r="134" spans="1:13">
      <c r="A134" t="s">
        <v>296</v>
      </c>
      <c r="B134" t="s">
        <v>297</v>
      </c>
      <c r="C134" t="s">
        <v>36</v>
      </c>
      <c r="D134" t="s">
        <v>29</v>
      </c>
      <c r="E134">
        <v>1999</v>
      </c>
      <c r="F134">
        <v>5</v>
      </c>
      <c r="G134">
        <v>9995</v>
      </c>
      <c r="H134" t="s">
        <v>89</v>
      </c>
      <c r="I134" t="s">
        <v>24</v>
      </c>
      <c r="J134" t="s">
        <v>25</v>
      </c>
      <c r="K134" t="s">
        <v>18</v>
      </c>
      <c r="L134" t="str">
        <f t="shared" si="4"/>
        <v>Feb</v>
      </c>
      <c r="M134" t="str">
        <f t="shared" si="5"/>
        <v>Thursday</v>
      </c>
    </row>
    <row r="135" spans="1:13">
      <c r="A135" t="s">
        <v>298</v>
      </c>
      <c r="B135" t="s">
        <v>260</v>
      </c>
      <c r="C135" t="s">
        <v>162</v>
      </c>
      <c r="D135" t="s">
        <v>29</v>
      </c>
      <c r="E135">
        <v>1799</v>
      </c>
      <c r="F135">
        <v>3</v>
      </c>
      <c r="G135">
        <v>5397</v>
      </c>
      <c r="H135" t="s">
        <v>62</v>
      </c>
      <c r="I135" t="s">
        <v>105</v>
      </c>
      <c r="J135" t="s">
        <v>25</v>
      </c>
      <c r="K135" t="s">
        <v>18</v>
      </c>
      <c r="L135" t="str">
        <f t="shared" si="4"/>
        <v>Jun</v>
      </c>
      <c r="M135" t="str">
        <f t="shared" si="5"/>
        <v>Wednesday</v>
      </c>
    </row>
    <row r="136" spans="1:13">
      <c r="A136" t="s">
        <v>299</v>
      </c>
      <c r="B136" t="s">
        <v>300</v>
      </c>
      <c r="C136" t="s">
        <v>13</v>
      </c>
      <c r="D136" t="s">
        <v>14</v>
      </c>
      <c r="E136">
        <v>2499</v>
      </c>
      <c r="F136">
        <v>5</v>
      </c>
      <c r="G136">
        <v>12495</v>
      </c>
      <c r="H136" t="s">
        <v>43</v>
      </c>
      <c r="I136" t="s">
        <v>77</v>
      </c>
      <c r="J136" t="s">
        <v>32</v>
      </c>
      <c r="K136" t="s">
        <v>45</v>
      </c>
      <c r="L136" t="str">
        <f t="shared" si="4"/>
        <v>Jan</v>
      </c>
      <c r="M136" t="str">
        <f t="shared" si="5"/>
        <v>Friday</v>
      </c>
    </row>
    <row r="137" spans="1:13">
      <c r="A137" t="s">
        <v>301</v>
      </c>
      <c r="B137" t="s">
        <v>130</v>
      </c>
      <c r="C137" t="s">
        <v>13</v>
      </c>
      <c r="D137" t="s">
        <v>14</v>
      </c>
      <c r="E137">
        <v>2499</v>
      </c>
      <c r="F137">
        <v>4</v>
      </c>
      <c r="G137">
        <v>9996</v>
      </c>
      <c r="H137" t="s">
        <v>15</v>
      </c>
      <c r="I137" t="s">
        <v>63</v>
      </c>
      <c r="J137" t="s">
        <v>32</v>
      </c>
      <c r="K137" t="s">
        <v>33</v>
      </c>
      <c r="L137" t="str">
        <f t="shared" si="4"/>
        <v>Jun</v>
      </c>
      <c r="M137" t="str">
        <f t="shared" si="5"/>
        <v>Monday</v>
      </c>
    </row>
    <row r="138" spans="1:13">
      <c r="A138" t="s">
        <v>302</v>
      </c>
      <c r="B138" t="s">
        <v>303</v>
      </c>
      <c r="C138" t="s">
        <v>87</v>
      </c>
      <c r="D138" t="s">
        <v>88</v>
      </c>
      <c r="E138">
        <v>5499</v>
      </c>
      <c r="F138">
        <v>5</v>
      </c>
      <c r="G138">
        <v>27495</v>
      </c>
      <c r="H138" t="s">
        <v>37</v>
      </c>
      <c r="I138" t="s">
        <v>24</v>
      </c>
      <c r="J138" t="s">
        <v>38</v>
      </c>
      <c r="K138" t="s">
        <v>18</v>
      </c>
      <c r="L138" t="str">
        <f t="shared" si="4"/>
        <v>Jun</v>
      </c>
      <c r="M138" t="str">
        <f t="shared" si="5"/>
        <v>Tuesday</v>
      </c>
    </row>
    <row r="139" spans="1:13">
      <c r="A139" t="s">
        <v>304</v>
      </c>
      <c r="B139" t="s">
        <v>250</v>
      </c>
      <c r="C139" t="s">
        <v>80</v>
      </c>
      <c r="D139" t="s">
        <v>81</v>
      </c>
      <c r="E139">
        <v>299</v>
      </c>
      <c r="F139">
        <v>5</v>
      </c>
      <c r="G139">
        <v>1495</v>
      </c>
      <c r="H139" t="s">
        <v>43</v>
      </c>
      <c r="I139" t="s">
        <v>57</v>
      </c>
      <c r="J139" t="s">
        <v>25</v>
      </c>
      <c r="K139" t="s">
        <v>18</v>
      </c>
      <c r="L139" t="str">
        <f t="shared" si="4"/>
        <v>Jan</v>
      </c>
      <c r="M139" t="str">
        <f t="shared" si="5"/>
        <v>Thursday</v>
      </c>
    </row>
    <row r="140" spans="1:13">
      <c r="A140" t="s">
        <v>305</v>
      </c>
      <c r="B140" t="s">
        <v>109</v>
      </c>
      <c r="C140" t="s">
        <v>70</v>
      </c>
      <c r="D140" t="s">
        <v>29</v>
      </c>
      <c r="E140">
        <v>799</v>
      </c>
      <c r="F140">
        <v>4</v>
      </c>
      <c r="G140">
        <v>3196</v>
      </c>
      <c r="H140" t="s">
        <v>157</v>
      </c>
      <c r="I140" t="s">
        <v>98</v>
      </c>
      <c r="J140" t="s">
        <v>25</v>
      </c>
      <c r="K140" t="s">
        <v>18</v>
      </c>
      <c r="L140" t="str">
        <f t="shared" si="4"/>
        <v>May</v>
      </c>
      <c r="M140" t="str">
        <f t="shared" si="5"/>
        <v>Friday</v>
      </c>
    </row>
    <row r="141" spans="1:13">
      <c r="A141" t="s">
        <v>306</v>
      </c>
      <c r="B141" t="s">
        <v>161</v>
      </c>
      <c r="C141" t="s">
        <v>162</v>
      </c>
      <c r="D141" t="s">
        <v>29</v>
      </c>
      <c r="E141">
        <v>1799</v>
      </c>
      <c r="F141">
        <v>4</v>
      </c>
      <c r="G141">
        <v>7196</v>
      </c>
      <c r="H141" t="s">
        <v>186</v>
      </c>
      <c r="I141" t="s">
        <v>24</v>
      </c>
      <c r="J141" t="s">
        <v>38</v>
      </c>
      <c r="K141" t="s">
        <v>45</v>
      </c>
      <c r="L141" t="str">
        <f t="shared" si="4"/>
        <v>Apr</v>
      </c>
      <c r="M141" t="str">
        <f t="shared" si="5"/>
        <v>Friday</v>
      </c>
    </row>
    <row r="142" spans="1:13">
      <c r="A142" t="s">
        <v>307</v>
      </c>
      <c r="B142" t="s">
        <v>152</v>
      </c>
      <c r="C142" t="s">
        <v>76</v>
      </c>
      <c r="D142" t="s">
        <v>49</v>
      </c>
      <c r="E142">
        <v>1599</v>
      </c>
      <c r="F142">
        <v>5</v>
      </c>
      <c r="G142">
        <v>7995</v>
      </c>
      <c r="H142" t="s">
        <v>66</v>
      </c>
      <c r="I142" t="s">
        <v>77</v>
      </c>
      <c r="J142" t="s">
        <v>25</v>
      </c>
      <c r="K142" t="s">
        <v>18</v>
      </c>
      <c r="L142" t="str">
        <f t="shared" si="4"/>
        <v>Apr</v>
      </c>
      <c r="M142" t="str">
        <f t="shared" si="5"/>
        <v>Saturday</v>
      </c>
    </row>
    <row r="143" spans="1:13">
      <c r="A143" t="s">
        <v>308</v>
      </c>
      <c r="B143" t="s">
        <v>40</v>
      </c>
      <c r="C143" t="s">
        <v>52</v>
      </c>
      <c r="D143" t="s">
        <v>53</v>
      </c>
      <c r="E143">
        <v>199</v>
      </c>
      <c r="F143">
        <v>3</v>
      </c>
      <c r="G143">
        <v>597</v>
      </c>
      <c r="H143" t="s">
        <v>62</v>
      </c>
      <c r="I143" t="s">
        <v>63</v>
      </c>
      <c r="J143" t="s">
        <v>25</v>
      </c>
      <c r="K143" t="s">
        <v>18</v>
      </c>
      <c r="L143" t="str">
        <f t="shared" si="4"/>
        <v>Mar</v>
      </c>
      <c r="M143" t="str">
        <f t="shared" si="5"/>
        <v>Friday</v>
      </c>
    </row>
    <row r="144" spans="1:13">
      <c r="A144" t="s">
        <v>309</v>
      </c>
      <c r="B144" t="s">
        <v>310</v>
      </c>
      <c r="C144" t="s">
        <v>48</v>
      </c>
      <c r="D144" t="s">
        <v>49</v>
      </c>
      <c r="E144">
        <v>699</v>
      </c>
      <c r="F144">
        <v>3</v>
      </c>
      <c r="G144">
        <v>2097</v>
      </c>
      <c r="H144" t="s">
        <v>66</v>
      </c>
      <c r="I144" t="s">
        <v>98</v>
      </c>
      <c r="J144" t="s">
        <v>32</v>
      </c>
      <c r="K144" t="s">
        <v>45</v>
      </c>
      <c r="L144" t="str">
        <f t="shared" si="4"/>
        <v>Feb</v>
      </c>
      <c r="M144" t="str">
        <f t="shared" si="5"/>
        <v>Sunday</v>
      </c>
    </row>
    <row r="145" spans="1:13">
      <c r="A145" t="s">
        <v>311</v>
      </c>
      <c r="B145" t="s">
        <v>69</v>
      </c>
      <c r="C145" t="s">
        <v>48</v>
      </c>
      <c r="D145" t="s">
        <v>49</v>
      </c>
      <c r="E145">
        <v>699</v>
      </c>
      <c r="F145">
        <v>2</v>
      </c>
      <c r="G145">
        <v>1398</v>
      </c>
      <c r="H145" t="s">
        <v>119</v>
      </c>
      <c r="I145" t="s">
        <v>125</v>
      </c>
      <c r="J145" t="s">
        <v>25</v>
      </c>
      <c r="K145" t="s">
        <v>45</v>
      </c>
      <c r="L145" t="str">
        <f t="shared" si="4"/>
        <v>Apr</v>
      </c>
      <c r="M145" t="str">
        <f t="shared" si="5"/>
        <v>Wednesday</v>
      </c>
    </row>
    <row r="146" spans="1:13">
      <c r="A146" t="s">
        <v>312</v>
      </c>
      <c r="B146" t="s">
        <v>241</v>
      </c>
      <c r="C146" t="s">
        <v>60</v>
      </c>
      <c r="D146" t="s">
        <v>61</v>
      </c>
      <c r="E146">
        <v>899</v>
      </c>
      <c r="F146">
        <v>3</v>
      </c>
      <c r="G146">
        <v>2697</v>
      </c>
      <c r="H146" t="s">
        <v>43</v>
      </c>
      <c r="I146" t="s">
        <v>125</v>
      </c>
      <c r="J146" t="s">
        <v>25</v>
      </c>
      <c r="K146" t="s">
        <v>18</v>
      </c>
      <c r="L146" t="str">
        <f t="shared" si="4"/>
        <v>Jan</v>
      </c>
      <c r="M146" t="str">
        <f t="shared" si="5"/>
        <v>Tuesday</v>
      </c>
    </row>
    <row r="147" spans="1:13">
      <c r="A147" t="s">
        <v>313</v>
      </c>
      <c r="B147" t="s">
        <v>314</v>
      </c>
      <c r="C147" t="s">
        <v>28</v>
      </c>
      <c r="D147" t="s">
        <v>29</v>
      </c>
      <c r="E147">
        <v>1299</v>
      </c>
      <c r="F147">
        <v>2</v>
      </c>
      <c r="G147">
        <v>2598</v>
      </c>
      <c r="H147" t="s">
        <v>37</v>
      </c>
      <c r="I147" t="s">
        <v>31</v>
      </c>
      <c r="J147" t="s">
        <v>90</v>
      </c>
      <c r="K147" t="s">
        <v>33</v>
      </c>
      <c r="L147" t="str">
        <f t="shared" si="4"/>
        <v>Feb</v>
      </c>
      <c r="M147" t="str">
        <f t="shared" si="5"/>
        <v>Friday</v>
      </c>
    </row>
    <row r="148" spans="1:13">
      <c r="A148" t="s">
        <v>315</v>
      </c>
      <c r="B148" t="s">
        <v>316</v>
      </c>
      <c r="C148" t="s">
        <v>52</v>
      </c>
      <c r="D148" t="s">
        <v>53</v>
      </c>
      <c r="E148">
        <v>199</v>
      </c>
      <c r="F148">
        <v>4</v>
      </c>
      <c r="G148">
        <v>796</v>
      </c>
      <c r="H148" t="s">
        <v>95</v>
      </c>
      <c r="I148" t="s">
        <v>77</v>
      </c>
      <c r="J148" t="s">
        <v>38</v>
      </c>
      <c r="K148" t="s">
        <v>45</v>
      </c>
      <c r="L148" t="str">
        <f t="shared" si="4"/>
        <v>Mar</v>
      </c>
      <c r="M148" t="str">
        <f t="shared" si="5"/>
        <v>Wednesday</v>
      </c>
    </row>
    <row r="149" spans="1:13">
      <c r="A149" t="s">
        <v>317</v>
      </c>
      <c r="B149" t="s">
        <v>109</v>
      </c>
      <c r="C149" t="s">
        <v>76</v>
      </c>
      <c r="D149" t="s">
        <v>49</v>
      </c>
      <c r="E149">
        <v>1599</v>
      </c>
      <c r="F149">
        <v>4</v>
      </c>
      <c r="G149">
        <v>6396</v>
      </c>
      <c r="H149" t="s">
        <v>23</v>
      </c>
      <c r="I149" t="s">
        <v>125</v>
      </c>
      <c r="J149" t="s">
        <v>90</v>
      </c>
      <c r="K149" t="s">
        <v>18</v>
      </c>
      <c r="L149" t="str">
        <f t="shared" si="4"/>
        <v>May</v>
      </c>
      <c r="M149" t="str">
        <f t="shared" si="5"/>
        <v>Friday</v>
      </c>
    </row>
    <row r="150" spans="1:13">
      <c r="A150" t="s">
        <v>318</v>
      </c>
      <c r="B150" t="s">
        <v>159</v>
      </c>
      <c r="C150" t="s">
        <v>13</v>
      </c>
      <c r="D150" t="s">
        <v>14</v>
      </c>
      <c r="E150">
        <v>2499</v>
      </c>
      <c r="F150">
        <v>1</v>
      </c>
      <c r="G150">
        <v>2499</v>
      </c>
      <c r="H150" t="s">
        <v>119</v>
      </c>
      <c r="I150" t="s">
        <v>31</v>
      </c>
      <c r="J150" t="s">
        <v>32</v>
      </c>
      <c r="K150" t="s">
        <v>18</v>
      </c>
      <c r="L150" t="str">
        <f t="shared" si="4"/>
        <v>Apr</v>
      </c>
      <c r="M150" t="str">
        <f t="shared" si="5"/>
        <v>Thursday</v>
      </c>
    </row>
    <row r="151" spans="1:13">
      <c r="A151" t="s">
        <v>319</v>
      </c>
      <c r="B151" t="s">
        <v>35</v>
      </c>
      <c r="C151" t="s">
        <v>76</v>
      </c>
      <c r="D151" t="s">
        <v>49</v>
      </c>
      <c r="E151">
        <v>1599</v>
      </c>
      <c r="F151">
        <v>3</v>
      </c>
      <c r="G151">
        <v>4797</v>
      </c>
      <c r="H151" t="s">
        <v>15</v>
      </c>
      <c r="I151" t="s">
        <v>57</v>
      </c>
      <c r="J151" t="s">
        <v>25</v>
      </c>
      <c r="K151" t="s">
        <v>45</v>
      </c>
      <c r="L151" t="str">
        <f t="shared" si="4"/>
        <v>Apr</v>
      </c>
      <c r="M151" t="str">
        <f t="shared" si="5"/>
        <v>Saturday</v>
      </c>
    </row>
    <row r="152" spans="1:13">
      <c r="A152" t="s">
        <v>320</v>
      </c>
      <c r="B152" t="s">
        <v>321</v>
      </c>
      <c r="C152" t="s">
        <v>60</v>
      </c>
      <c r="D152" t="s">
        <v>61</v>
      </c>
      <c r="E152">
        <v>899</v>
      </c>
      <c r="F152">
        <v>2</v>
      </c>
      <c r="G152">
        <v>1798</v>
      </c>
      <c r="H152" t="s">
        <v>71</v>
      </c>
      <c r="I152" t="s">
        <v>125</v>
      </c>
      <c r="J152" t="s">
        <v>90</v>
      </c>
      <c r="K152" t="s">
        <v>18</v>
      </c>
      <c r="L152" t="str">
        <f t="shared" si="4"/>
        <v>May</v>
      </c>
      <c r="M152" t="str">
        <f t="shared" si="5"/>
        <v>Saturday</v>
      </c>
    </row>
    <row r="153" spans="1:13">
      <c r="A153" t="s">
        <v>322</v>
      </c>
      <c r="B153" t="s">
        <v>219</v>
      </c>
      <c r="C153" t="s">
        <v>70</v>
      </c>
      <c r="D153" t="s">
        <v>29</v>
      </c>
      <c r="E153">
        <v>799</v>
      </c>
      <c r="F153">
        <v>2</v>
      </c>
      <c r="G153">
        <v>1598</v>
      </c>
      <c r="H153" t="s">
        <v>56</v>
      </c>
      <c r="I153" t="s">
        <v>31</v>
      </c>
      <c r="J153" t="s">
        <v>90</v>
      </c>
      <c r="K153" t="s">
        <v>18</v>
      </c>
      <c r="L153" t="str">
        <f t="shared" si="4"/>
        <v>Jan</v>
      </c>
      <c r="M153" t="str">
        <f t="shared" si="5"/>
        <v>Monday</v>
      </c>
    </row>
    <row r="154" spans="1:13">
      <c r="A154" t="s">
        <v>323</v>
      </c>
      <c r="B154" t="s">
        <v>159</v>
      </c>
      <c r="C154" t="s">
        <v>21</v>
      </c>
      <c r="D154" t="s">
        <v>22</v>
      </c>
      <c r="E154">
        <v>1499</v>
      </c>
      <c r="F154">
        <v>2</v>
      </c>
      <c r="G154">
        <v>2998</v>
      </c>
      <c r="H154" t="s">
        <v>102</v>
      </c>
      <c r="I154" t="s">
        <v>77</v>
      </c>
      <c r="J154" t="s">
        <v>38</v>
      </c>
      <c r="K154" t="s">
        <v>45</v>
      </c>
      <c r="L154" t="str">
        <f t="shared" si="4"/>
        <v>Apr</v>
      </c>
      <c r="M154" t="str">
        <f t="shared" si="5"/>
        <v>Thursday</v>
      </c>
    </row>
    <row r="155" spans="1:13">
      <c r="A155" t="s">
        <v>324</v>
      </c>
      <c r="B155" t="s">
        <v>325</v>
      </c>
      <c r="C155" t="s">
        <v>70</v>
      </c>
      <c r="D155" t="s">
        <v>29</v>
      </c>
      <c r="E155">
        <v>799</v>
      </c>
      <c r="F155">
        <v>3</v>
      </c>
      <c r="G155">
        <v>2397</v>
      </c>
      <c r="H155" t="s">
        <v>43</v>
      </c>
      <c r="I155" t="s">
        <v>77</v>
      </c>
      <c r="J155" t="s">
        <v>17</v>
      </c>
      <c r="K155" t="s">
        <v>18</v>
      </c>
      <c r="L155" t="str">
        <f t="shared" si="4"/>
        <v>Feb</v>
      </c>
      <c r="M155" t="str">
        <f t="shared" si="5"/>
        <v>Wednesday</v>
      </c>
    </row>
    <row r="156" spans="1:13">
      <c r="A156" t="s">
        <v>326</v>
      </c>
      <c r="B156" t="s">
        <v>137</v>
      </c>
      <c r="C156" t="s">
        <v>87</v>
      </c>
      <c r="D156" t="s">
        <v>88</v>
      </c>
      <c r="E156">
        <v>5499</v>
      </c>
      <c r="F156">
        <v>1</v>
      </c>
      <c r="G156">
        <v>5499</v>
      </c>
      <c r="H156" t="s">
        <v>186</v>
      </c>
      <c r="I156" t="s">
        <v>31</v>
      </c>
      <c r="J156" t="s">
        <v>90</v>
      </c>
      <c r="K156" t="s">
        <v>18</v>
      </c>
      <c r="L156" t="str">
        <f t="shared" si="4"/>
        <v>Mar</v>
      </c>
      <c r="M156" t="str">
        <f t="shared" si="5"/>
        <v>Monday</v>
      </c>
    </row>
    <row r="157" spans="1:13">
      <c r="A157" t="s">
        <v>327</v>
      </c>
      <c r="B157" t="s">
        <v>219</v>
      </c>
      <c r="C157" t="s">
        <v>76</v>
      </c>
      <c r="D157" t="s">
        <v>49</v>
      </c>
      <c r="E157">
        <v>1599</v>
      </c>
      <c r="F157">
        <v>5</v>
      </c>
      <c r="G157">
        <v>7995</v>
      </c>
      <c r="H157" t="s">
        <v>186</v>
      </c>
      <c r="I157" t="s">
        <v>63</v>
      </c>
      <c r="J157" t="s">
        <v>38</v>
      </c>
      <c r="K157" t="s">
        <v>18</v>
      </c>
      <c r="L157" t="str">
        <f t="shared" si="4"/>
        <v>Jan</v>
      </c>
      <c r="M157" t="str">
        <f t="shared" si="5"/>
        <v>Monday</v>
      </c>
    </row>
    <row r="158" spans="1:13">
      <c r="A158" t="s">
        <v>328</v>
      </c>
      <c r="B158" t="s">
        <v>329</v>
      </c>
      <c r="C158" t="s">
        <v>76</v>
      </c>
      <c r="D158" t="s">
        <v>49</v>
      </c>
      <c r="E158">
        <v>1599</v>
      </c>
      <c r="F158">
        <v>5</v>
      </c>
      <c r="G158">
        <v>7995</v>
      </c>
      <c r="H158" t="s">
        <v>119</v>
      </c>
      <c r="I158" t="s">
        <v>24</v>
      </c>
      <c r="J158" t="s">
        <v>25</v>
      </c>
      <c r="K158" t="s">
        <v>18</v>
      </c>
      <c r="L158" t="str">
        <f t="shared" si="4"/>
        <v>May</v>
      </c>
      <c r="M158" t="str">
        <f t="shared" si="5"/>
        <v>Sunday</v>
      </c>
    </row>
    <row r="159" spans="1:13">
      <c r="A159" t="s">
        <v>330</v>
      </c>
      <c r="B159" t="s">
        <v>331</v>
      </c>
      <c r="C159" t="s">
        <v>76</v>
      </c>
      <c r="D159" t="s">
        <v>49</v>
      </c>
      <c r="E159">
        <v>1599</v>
      </c>
      <c r="F159">
        <v>2</v>
      </c>
      <c r="G159">
        <v>3198</v>
      </c>
      <c r="H159" t="s">
        <v>102</v>
      </c>
      <c r="I159" t="s">
        <v>16</v>
      </c>
      <c r="J159" t="s">
        <v>25</v>
      </c>
      <c r="K159" t="s">
        <v>18</v>
      </c>
      <c r="L159" t="str">
        <f t="shared" si="4"/>
        <v>May</v>
      </c>
      <c r="M159" t="str">
        <f t="shared" si="5"/>
        <v>Wednesday</v>
      </c>
    </row>
    <row r="160" spans="1:13">
      <c r="A160" t="s">
        <v>332</v>
      </c>
      <c r="B160" t="s">
        <v>185</v>
      </c>
      <c r="C160" t="s">
        <v>60</v>
      </c>
      <c r="D160" t="s">
        <v>61</v>
      </c>
      <c r="E160">
        <v>899</v>
      </c>
      <c r="F160">
        <v>5</v>
      </c>
      <c r="G160">
        <v>4495</v>
      </c>
      <c r="H160" t="s">
        <v>30</v>
      </c>
      <c r="I160" t="s">
        <v>16</v>
      </c>
      <c r="J160" t="s">
        <v>38</v>
      </c>
      <c r="K160" t="s">
        <v>18</v>
      </c>
      <c r="L160" t="str">
        <f t="shared" si="4"/>
        <v>Mar</v>
      </c>
      <c r="M160" t="str">
        <f t="shared" si="5"/>
        <v>Monday</v>
      </c>
    </row>
    <row r="161" spans="1:13">
      <c r="A161" t="s">
        <v>333</v>
      </c>
      <c r="B161" t="s">
        <v>255</v>
      </c>
      <c r="C161" t="s">
        <v>13</v>
      </c>
      <c r="D161" t="s">
        <v>14</v>
      </c>
      <c r="E161">
        <v>2499</v>
      </c>
      <c r="F161">
        <v>1</v>
      </c>
      <c r="G161">
        <v>2499</v>
      </c>
      <c r="H161" t="s">
        <v>62</v>
      </c>
      <c r="I161" t="s">
        <v>57</v>
      </c>
      <c r="J161" t="s">
        <v>25</v>
      </c>
      <c r="K161" t="s">
        <v>18</v>
      </c>
      <c r="L161" t="str">
        <f t="shared" si="4"/>
        <v>Mar</v>
      </c>
      <c r="M161" t="str">
        <f t="shared" si="5"/>
        <v>Thursday</v>
      </c>
    </row>
    <row r="162" spans="1:13">
      <c r="A162" t="s">
        <v>334</v>
      </c>
      <c r="B162" t="s">
        <v>335</v>
      </c>
      <c r="C162" t="s">
        <v>122</v>
      </c>
      <c r="D162" t="s">
        <v>29</v>
      </c>
      <c r="E162">
        <v>1299</v>
      </c>
      <c r="F162">
        <v>3</v>
      </c>
      <c r="G162">
        <v>3897</v>
      </c>
      <c r="H162" t="s">
        <v>89</v>
      </c>
      <c r="I162" t="s">
        <v>16</v>
      </c>
      <c r="J162" t="s">
        <v>25</v>
      </c>
      <c r="K162" t="s">
        <v>18</v>
      </c>
      <c r="L162" t="str">
        <f t="shared" si="4"/>
        <v>Feb</v>
      </c>
      <c r="M162" t="str">
        <f t="shared" si="5"/>
        <v>Thursday</v>
      </c>
    </row>
    <row r="163" spans="1:13">
      <c r="A163" t="s">
        <v>336</v>
      </c>
      <c r="B163" t="s">
        <v>229</v>
      </c>
      <c r="C163" t="s">
        <v>28</v>
      </c>
      <c r="D163" t="s">
        <v>29</v>
      </c>
      <c r="E163">
        <v>1299</v>
      </c>
      <c r="F163">
        <v>1</v>
      </c>
      <c r="G163">
        <v>1299</v>
      </c>
      <c r="H163" t="s">
        <v>23</v>
      </c>
      <c r="I163" t="s">
        <v>57</v>
      </c>
      <c r="J163" t="s">
        <v>38</v>
      </c>
      <c r="K163" t="s">
        <v>18</v>
      </c>
      <c r="L163" t="str">
        <f t="shared" si="4"/>
        <v>Jan</v>
      </c>
      <c r="M163" t="str">
        <f t="shared" si="5"/>
        <v>Friday</v>
      </c>
    </row>
    <row r="164" spans="1:13">
      <c r="A164" t="s">
        <v>337</v>
      </c>
      <c r="B164" t="s">
        <v>338</v>
      </c>
      <c r="C164" t="s">
        <v>76</v>
      </c>
      <c r="D164" t="s">
        <v>49</v>
      </c>
      <c r="E164">
        <v>1599</v>
      </c>
      <c r="F164">
        <v>4</v>
      </c>
      <c r="G164">
        <v>6396</v>
      </c>
      <c r="H164" t="s">
        <v>62</v>
      </c>
      <c r="I164" t="s">
        <v>67</v>
      </c>
      <c r="J164" t="s">
        <v>25</v>
      </c>
      <c r="K164" t="s">
        <v>18</v>
      </c>
      <c r="L164" t="str">
        <f t="shared" si="4"/>
        <v>Mar</v>
      </c>
      <c r="M164" t="str">
        <f t="shared" si="5"/>
        <v>Saturday</v>
      </c>
    </row>
    <row r="165" spans="1:13">
      <c r="A165" t="s">
        <v>339</v>
      </c>
      <c r="B165" t="s">
        <v>340</v>
      </c>
      <c r="C165" t="s">
        <v>87</v>
      </c>
      <c r="D165" t="s">
        <v>88</v>
      </c>
      <c r="E165">
        <v>5499</v>
      </c>
      <c r="F165">
        <v>3</v>
      </c>
      <c r="G165">
        <v>16497</v>
      </c>
      <c r="H165" t="s">
        <v>102</v>
      </c>
      <c r="I165" t="s">
        <v>98</v>
      </c>
      <c r="J165" t="s">
        <v>25</v>
      </c>
      <c r="K165" t="s">
        <v>45</v>
      </c>
      <c r="L165" t="str">
        <f t="shared" si="4"/>
        <v>May</v>
      </c>
      <c r="M165" t="str">
        <f t="shared" si="5"/>
        <v>Saturday</v>
      </c>
    </row>
    <row r="166" spans="1:13">
      <c r="A166" t="s">
        <v>341</v>
      </c>
      <c r="B166" t="s">
        <v>145</v>
      </c>
      <c r="C166" t="s">
        <v>36</v>
      </c>
      <c r="D166" t="s">
        <v>29</v>
      </c>
      <c r="E166">
        <v>1999</v>
      </c>
      <c r="F166">
        <v>2</v>
      </c>
      <c r="G166">
        <v>3998</v>
      </c>
      <c r="H166" t="s">
        <v>56</v>
      </c>
      <c r="I166" t="s">
        <v>44</v>
      </c>
      <c r="J166" t="s">
        <v>25</v>
      </c>
      <c r="K166" t="s">
        <v>18</v>
      </c>
      <c r="L166" t="str">
        <f t="shared" si="4"/>
        <v>Mar</v>
      </c>
      <c r="M166" t="str">
        <f t="shared" si="5"/>
        <v>Thursday</v>
      </c>
    </row>
    <row r="167" spans="1:13">
      <c r="A167" t="s">
        <v>342</v>
      </c>
      <c r="B167" t="s">
        <v>343</v>
      </c>
      <c r="C167" t="s">
        <v>162</v>
      </c>
      <c r="D167" t="s">
        <v>29</v>
      </c>
      <c r="E167">
        <v>1799</v>
      </c>
      <c r="F167">
        <v>3</v>
      </c>
      <c r="G167">
        <v>5397</v>
      </c>
      <c r="H167" t="s">
        <v>186</v>
      </c>
      <c r="I167" t="s">
        <v>98</v>
      </c>
      <c r="J167" t="s">
        <v>90</v>
      </c>
      <c r="K167" t="s">
        <v>18</v>
      </c>
      <c r="L167" t="str">
        <f t="shared" si="4"/>
        <v>May</v>
      </c>
      <c r="M167" t="str">
        <f t="shared" si="5"/>
        <v>Friday</v>
      </c>
    </row>
    <row r="168" spans="1:13">
      <c r="A168" t="s">
        <v>344</v>
      </c>
      <c r="B168" t="s">
        <v>237</v>
      </c>
      <c r="C168" t="s">
        <v>101</v>
      </c>
      <c r="D168" t="s">
        <v>81</v>
      </c>
      <c r="E168">
        <v>499</v>
      </c>
      <c r="F168">
        <v>2</v>
      </c>
      <c r="G168">
        <v>998</v>
      </c>
      <c r="H168" t="s">
        <v>119</v>
      </c>
      <c r="I168" t="s">
        <v>63</v>
      </c>
      <c r="J168" t="s">
        <v>32</v>
      </c>
      <c r="K168" t="s">
        <v>45</v>
      </c>
      <c r="L168" t="str">
        <f t="shared" si="4"/>
        <v>Jan</v>
      </c>
      <c r="M168" t="str">
        <f t="shared" si="5"/>
        <v>Thursday</v>
      </c>
    </row>
    <row r="169" spans="1:13">
      <c r="A169" t="s">
        <v>345</v>
      </c>
      <c r="B169" t="s">
        <v>325</v>
      </c>
      <c r="C169" t="s">
        <v>70</v>
      </c>
      <c r="D169" t="s">
        <v>29</v>
      </c>
      <c r="E169">
        <v>799</v>
      </c>
      <c r="F169">
        <v>5</v>
      </c>
      <c r="G169">
        <v>3995</v>
      </c>
      <c r="H169" t="s">
        <v>102</v>
      </c>
      <c r="I169" t="s">
        <v>24</v>
      </c>
      <c r="J169" t="s">
        <v>17</v>
      </c>
      <c r="K169" t="s">
        <v>45</v>
      </c>
      <c r="L169" t="str">
        <f t="shared" si="4"/>
        <v>Feb</v>
      </c>
      <c r="M169" t="str">
        <f t="shared" si="5"/>
        <v>Wednesday</v>
      </c>
    </row>
    <row r="170" spans="1:13">
      <c r="A170" t="s">
        <v>346</v>
      </c>
      <c r="B170" t="s">
        <v>347</v>
      </c>
      <c r="C170" t="s">
        <v>36</v>
      </c>
      <c r="D170" t="s">
        <v>29</v>
      </c>
      <c r="E170">
        <v>1999</v>
      </c>
      <c r="F170">
        <v>2</v>
      </c>
      <c r="G170">
        <v>3998</v>
      </c>
      <c r="H170" t="s">
        <v>30</v>
      </c>
      <c r="I170" t="s">
        <v>125</v>
      </c>
      <c r="J170" t="s">
        <v>25</v>
      </c>
      <c r="K170" t="s">
        <v>18</v>
      </c>
      <c r="L170" t="str">
        <f t="shared" si="4"/>
        <v>Feb</v>
      </c>
      <c r="M170" t="str">
        <f t="shared" si="5"/>
        <v>Friday</v>
      </c>
    </row>
    <row r="171" spans="1:13">
      <c r="A171" t="s">
        <v>348</v>
      </c>
      <c r="B171" t="s">
        <v>104</v>
      </c>
      <c r="C171" t="s">
        <v>122</v>
      </c>
      <c r="D171" t="s">
        <v>29</v>
      </c>
      <c r="E171">
        <v>1299</v>
      </c>
      <c r="F171">
        <v>3</v>
      </c>
      <c r="G171">
        <v>3897</v>
      </c>
      <c r="H171" t="s">
        <v>66</v>
      </c>
      <c r="I171" t="s">
        <v>16</v>
      </c>
      <c r="J171" t="s">
        <v>17</v>
      </c>
      <c r="K171" t="s">
        <v>45</v>
      </c>
      <c r="L171" t="str">
        <f t="shared" si="4"/>
        <v>Jun</v>
      </c>
      <c r="M171" t="str">
        <f t="shared" si="5"/>
        <v>Monday</v>
      </c>
    </row>
    <row r="172" spans="1:13">
      <c r="A172" t="s">
        <v>349</v>
      </c>
      <c r="B172" t="s">
        <v>310</v>
      </c>
      <c r="C172" t="s">
        <v>28</v>
      </c>
      <c r="D172" t="s">
        <v>29</v>
      </c>
      <c r="E172">
        <v>1299</v>
      </c>
      <c r="F172">
        <v>2</v>
      </c>
      <c r="G172">
        <v>2598</v>
      </c>
      <c r="H172" t="s">
        <v>62</v>
      </c>
      <c r="I172" t="s">
        <v>57</v>
      </c>
      <c r="J172" t="s">
        <v>32</v>
      </c>
      <c r="K172" t="s">
        <v>18</v>
      </c>
      <c r="L172" t="str">
        <f t="shared" si="4"/>
        <v>Feb</v>
      </c>
      <c r="M172" t="str">
        <f t="shared" si="5"/>
        <v>Sunday</v>
      </c>
    </row>
    <row r="173" spans="1:13">
      <c r="A173" t="s">
        <v>350</v>
      </c>
      <c r="B173" t="s">
        <v>314</v>
      </c>
      <c r="C173" t="s">
        <v>162</v>
      </c>
      <c r="D173" t="s">
        <v>29</v>
      </c>
      <c r="E173">
        <v>1799</v>
      </c>
      <c r="F173">
        <v>3</v>
      </c>
      <c r="G173">
        <v>5397</v>
      </c>
      <c r="H173" t="s">
        <v>71</v>
      </c>
      <c r="I173" t="s">
        <v>82</v>
      </c>
      <c r="J173" t="s">
        <v>32</v>
      </c>
      <c r="K173" t="s">
        <v>45</v>
      </c>
      <c r="L173" t="str">
        <f t="shared" si="4"/>
        <v>Feb</v>
      </c>
      <c r="M173" t="str">
        <f t="shared" si="5"/>
        <v>Friday</v>
      </c>
    </row>
    <row r="174" spans="1:13">
      <c r="A174" t="s">
        <v>351</v>
      </c>
      <c r="B174" t="s">
        <v>217</v>
      </c>
      <c r="C174" t="s">
        <v>101</v>
      </c>
      <c r="D174" t="s">
        <v>81</v>
      </c>
      <c r="E174">
        <v>499</v>
      </c>
      <c r="F174">
        <v>3</v>
      </c>
      <c r="G174">
        <v>1497</v>
      </c>
      <c r="H174" t="s">
        <v>66</v>
      </c>
      <c r="I174" t="s">
        <v>125</v>
      </c>
      <c r="J174" t="s">
        <v>25</v>
      </c>
      <c r="K174" t="s">
        <v>45</v>
      </c>
      <c r="L174" t="str">
        <f t="shared" si="4"/>
        <v>Jun</v>
      </c>
      <c r="M174" t="str">
        <f t="shared" si="5"/>
        <v>Sunday</v>
      </c>
    </row>
    <row r="175" spans="1:13">
      <c r="A175" t="s">
        <v>352</v>
      </c>
      <c r="B175" t="s">
        <v>340</v>
      </c>
      <c r="C175" t="s">
        <v>21</v>
      </c>
      <c r="D175" t="s">
        <v>22</v>
      </c>
      <c r="E175">
        <v>1499</v>
      </c>
      <c r="F175">
        <v>2</v>
      </c>
      <c r="G175">
        <v>2998</v>
      </c>
      <c r="H175" t="s">
        <v>186</v>
      </c>
      <c r="I175" t="s">
        <v>67</v>
      </c>
      <c r="J175" t="s">
        <v>17</v>
      </c>
      <c r="K175" t="s">
        <v>18</v>
      </c>
      <c r="L175" t="str">
        <f t="shared" si="4"/>
        <v>May</v>
      </c>
      <c r="M175" t="str">
        <f t="shared" si="5"/>
        <v>Saturday</v>
      </c>
    </row>
    <row r="176" spans="1:13">
      <c r="A176" t="s">
        <v>353</v>
      </c>
      <c r="B176" t="s">
        <v>354</v>
      </c>
      <c r="C176" t="s">
        <v>28</v>
      </c>
      <c r="D176" t="s">
        <v>29</v>
      </c>
      <c r="E176">
        <v>1299</v>
      </c>
      <c r="F176">
        <v>4</v>
      </c>
      <c r="G176">
        <v>5196</v>
      </c>
      <c r="H176" t="s">
        <v>56</v>
      </c>
      <c r="I176" t="s">
        <v>57</v>
      </c>
      <c r="J176" t="s">
        <v>90</v>
      </c>
      <c r="K176" t="s">
        <v>18</v>
      </c>
      <c r="L176" t="str">
        <f t="shared" si="4"/>
        <v>May</v>
      </c>
      <c r="M176" t="str">
        <f t="shared" si="5"/>
        <v>Monday</v>
      </c>
    </row>
    <row r="177" spans="1:13">
      <c r="A177" t="s">
        <v>355</v>
      </c>
      <c r="B177" t="s">
        <v>356</v>
      </c>
      <c r="C177" t="s">
        <v>36</v>
      </c>
      <c r="D177" t="s">
        <v>29</v>
      </c>
      <c r="E177">
        <v>1999</v>
      </c>
      <c r="F177">
        <v>4</v>
      </c>
      <c r="G177">
        <v>7996</v>
      </c>
      <c r="H177" t="s">
        <v>66</v>
      </c>
      <c r="I177" t="s">
        <v>105</v>
      </c>
      <c r="J177" t="s">
        <v>25</v>
      </c>
      <c r="K177" t="s">
        <v>18</v>
      </c>
      <c r="L177" t="str">
        <f t="shared" si="4"/>
        <v>Feb</v>
      </c>
      <c r="M177" t="str">
        <f t="shared" si="5"/>
        <v>Wednesday</v>
      </c>
    </row>
    <row r="178" spans="1:13">
      <c r="A178" t="s">
        <v>357</v>
      </c>
      <c r="B178" t="s">
        <v>358</v>
      </c>
      <c r="C178" t="s">
        <v>28</v>
      </c>
      <c r="D178" t="s">
        <v>29</v>
      </c>
      <c r="E178">
        <v>1299</v>
      </c>
      <c r="F178">
        <v>3</v>
      </c>
      <c r="G178">
        <v>3897</v>
      </c>
      <c r="H178" t="s">
        <v>71</v>
      </c>
      <c r="I178" t="s">
        <v>31</v>
      </c>
      <c r="J178" t="s">
        <v>90</v>
      </c>
      <c r="K178" t="s">
        <v>45</v>
      </c>
      <c r="L178" t="str">
        <f t="shared" si="4"/>
        <v>Feb</v>
      </c>
      <c r="M178" t="str">
        <f t="shared" si="5"/>
        <v>Monday</v>
      </c>
    </row>
    <row r="179" spans="1:13">
      <c r="A179" t="s">
        <v>359</v>
      </c>
      <c r="B179" t="s">
        <v>20</v>
      </c>
      <c r="C179" t="s">
        <v>13</v>
      </c>
      <c r="D179" t="s">
        <v>14</v>
      </c>
      <c r="E179">
        <v>2499</v>
      </c>
      <c r="F179">
        <v>4</v>
      </c>
      <c r="G179">
        <v>9996</v>
      </c>
      <c r="H179" t="s">
        <v>43</v>
      </c>
      <c r="I179" t="s">
        <v>57</v>
      </c>
      <c r="J179" t="s">
        <v>32</v>
      </c>
      <c r="K179" t="s">
        <v>18</v>
      </c>
      <c r="L179" t="str">
        <f t="shared" si="4"/>
        <v>Jun</v>
      </c>
      <c r="M179" t="str">
        <f t="shared" si="5"/>
        <v>Friday</v>
      </c>
    </row>
    <row r="180" spans="1:13">
      <c r="A180" t="s">
        <v>360</v>
      </c>
      <c r="B180" t="s">
        <v>361</v>
      </c>
      <c r="C180" t="s">
        <v>52</v>
      </c>
      <c r="D180" t="s">
        <v>53</v>
      </c>
      <c r="E180">
        <v>199</v>
      </c>
      <c r="F180">
        <v>2</v>
      </c>
      <c r="G180">
        <v>398</v>
      </c>
      <c r="H180" t="s">
        <v>37</v>
      </c>
      <c r="I180" t="s">
        <v>63</v>
      </c>
      <c r="J180" t="s">
        <v>25</v>
      </c>
      <c r="K180" t="s">
        <v>18</v>
      </c>
      <c r="L180" t="str">
        <f t="shared" si="4"/>
        <v>Feb</v>
      </c>
      <c r="M180" t="str">
        <f t="shared" si="5"/>
        <v>Tuesday</v>
      </c>
    </row>
    <row r="181" spans="1:13">
      <c r="A181" t="s">
        <v>362</v>
      </c>
      <c r="B181" t="s">
        <v>215</v>
      </c>
      <c r="C181" t="s">
        <v>80</v>
      </c>
      <c r="D181" t="s">
        <v>81</v>
      </c>
      <c r="E181">
        <v>299</v>
      </c>
      <c r="F181">
        <v>1</v>
      </c>
      <c r="G181">
        <v>299</v>
      </c>
      <c r="H181" t="s">
        <v>37</v>
      </c>
      <c r="I181" t="s">
        <v>57</v>
      </c>
      <c r="J181" t="s">
        <v>25</v>
      </c>
      <c r="K181" t="s">
        <v>18</v>
      </c>
      <c r="L181" t="str">
        <f t="shared" si="4"/>
        <v>Jan</v>
      </c>
      <c r="M181" t="str">
        <f t="shared" si="5"/>
        <v>Saturday</v>
      </c>
    </row>
    <row r="182" spans="1:13">
      <c r="A182" t="s">
        <v>363</v>
      </c>
      <c r="B182" t="s">
        <v>255</v>
      </c>
      <c r="C182" t="s">
        <v>76</v>
      </c>
      <c r="D182" t="s">
        <v>49</v>
      </c>
      <c r="E182">
        <v>1599</v>
      </c>
      <c r="F182">
        <v>4</v>
      </c>
      <c r="G182">
        <v>6396</v>
      </c>
      <c r="H182" t="s">
        <v>37</v>
      </c>
      <c r="I182" t="s">
        <v>67</v>
      </c>
      <c r="J182" t="s">
        <v>25</v>
      </c>
      <c r="K182" t="s">
        <v>33</v>
      </c>
      <c r="L182" t="str">
        <f t="shared" si="4"/>
        <v>Mar</v>
      </c>
      <c r="M182" t="str">
        <f t="shared" si="5"/>
        <v>Thursday</v>
      </c>
    </row>
    <row r="183" spans="1:13">
      <c r="A183" t="s">
        <v>364</v>
      </c>
      <c r="B183" t="s">
        <v>365</v>
      </c>
      <c r="C183" t="s">
        <v>70</v>
      </c>
      <c r="D183" t="s">
        <v>29</v>
      </c>
      <c r="E183">
        <v>799</v>
      </c>
      <c r="F183">
        <v>2</v>
      </c>
      <c r="G183">
        <v>1598</v>
      </c>
      <c r="H183" t="s">
        <v>95</v>
      </c>
      <c r="I183" t="s">
        <v>98</v>
      </c>
      <c r="J183" t="s">
        <v>38</v>
      </c>
      <c r="K183" t="s">
        <v>18</v>
      </c>
      <c r="L183" t="str">
        <f t="shared" si="4"/>
        <v>Jan</v>
      </c>
      <c r="M183" t="str">
        <f t="shared" si="5"/>
        <v>Monday</v>
      </c>
    </row>
    <row r="184" spans="1:13">
      <c r="A184" t="s">
        <v>366</v>
      </c>
      <c r="B184" t="s">
        <v>192</v>
      </c>
      <c r="C184" t="s">
        <v>101</v>
      </c>
      <c r="D184" t="s">
        <v>81</v>
      </c>
      <c r="E184">
        <v>499</v>
      </c>
      <c r="F184">
        <v>1</v>
      </c>
      <c r="G184">
        <v>499</v>
      </c>
      <c r="H184" t="s">
        <v>66</v>
      </c>
      <c r="I184" t="s">
        <v>24</v>
      </c>
      <c r="J184" t="s">
        <v>32</v>
      </c>
      <c r="K184" t="s">
        <v>18</v>
      </c>
      <c r="L184" t="str">
        <f t="shared" si="4"/>
        <v>Jun</v>
      </c>
      <c r="M184" t="str">
        <f t="shared" si="5"/>
        <v>Sunday</v>
      </c>
    </row>
    <row r="185" spans="1:13">
      <c r="A185" t="s">
        <v>367</v>
      </c>
      <c r="B185" t="s">
        <v>338</v>
      </c>
      <c r="C185" t="s">
        <v>70</v>
      </c>
      <c r="D185" t="s">
        <v>29</v>
      </c>
      <c r="E185">
        <v>799</v>
      </c>
      <c r="F185">
        <v>1</v>
      </c>
      <c r="G185">
        <v>799</v>
      </c>
      <c r="H185" t="s">
        <v>56</v>
      </c>
      <c r="I185" t="s">
        <v>98</v>
      </c>
      <c r="J185" t="s">
        <v>38</v>
      </c>
      <c r="K185" t="s">
        <v>33</v>
      </c>
      <c r="L185" t="str">
        <f t="shared" si="4"/>
        <v>Mar</v>
      </c>
      <c r="M185" t="str">
        <f t="shared" si="5"/>
        <v>Saturday</v>
      </c>
    </row>
    <row r="186" spans="1:13">
      <c r="A186" t="s">
        <v>368</v>
      </c>
      <c r="B186" t="s">
        <v>12</v>
      </c>
      <c r="C186" t="s">
        <v>162</v>
      </c>
      <c r="D186" t="s">
        <v>29</v>
      </c>
      <c r="E186">
        <v>1799</v>
      </c>
      <c r="F186">
        <v>3</v>
      </c>
      <c r="G186">
        <v>5397</v>
      </c>
      <c r="H186" t="s">
        <v>157</v>
      </c>
      <c r="I186" t="s">
        <v>98</v>
      </c>
      <c r="J186" t="s">
        <v>25</v>
      </c>
      <c r="K186" t="s">
        <v>33</v>
      </c>
      <c r="L186" t="str">
        <f t="shared" si="4"/>
        <v>Apr</v>
      </c>
      <c r="M186" t="str">
        <f t="shared" si="5"/>
        <v>Thursday</v>
      </c>
    </row>
    <row r="187" spans="1:13">
      <c r="A187" t="s">
        <v>369</v>
      </c>
      <c r="B187" t="s">
        <v>279</v>
      </c>
      <c r="C187" t="s">
        <v>162</v>
      </c>
      <c r="D187" t="s">
        <v>29</v>
      </c>
      <c r="E187">
        <v>1799</v>
      </c>
      <c r="F187">
        <v>5</v>
      </c>
      <c r="G187">
        <v>8995</v>
      </c>
      <c r="H187" t="s">
        <v>62</v>
      </c>
      <c r="I187" t="s">
        <v>63</v>
      </c>
      <c r="J187" t="s">
        <v>32</v>
      </c>
      <c r="K187" t="s">
        <v>18</v>
      </c>
      <c r="L187" t="str">
        <f t="shared" si="4"/>
        <v>May</v>
      </c>
      <c r="M187" t="str">
        <f t="shared" si="5"/>
        <v>Sunday</v>
      </c>
    </row>
    <row r="188" spans="1:13">
      <c r="A188" t="s">
        <v>370</v>
      </c>
      <c r="B188" t="s">
        <v>196</v>
      </c>
      <c r="C188" t="s">
        <v>122</v>
      </c>
      <c r="D188" t="s">
        <v>29</v>
      </c>
      <c r="E188">
        <v>1299</v>
      </c>
      <c r="F188">
        <v>1</v>
      </c>
      <c r="G188">
        <v>1299</v>
      </c>
      <c r="H188" t="s">
        <v>62</v>
      </c>
      <c r="I188" t="s">
        <v>98</v>
      </c>
      <c r="J188" t="s">
        <v>32</v>
      </c>
      <c r="K188" t="s">
        <v>33</v>
      </c>
      <c r="L188" t="str">
        <f t="shared" si="4"/>
        <v>May</v>
      </c>
      <c r="M188" t="str">
        <f t="shared" si="5"/>
        <v>Friday</v>
      </c>
    </row>
    <row r="189" spans="1:13">
      <c r="A189" t="s">
        <v>371</v>
      </c>
      <c r="B189" t="s">
        <v>177</v>
      </c>
      <c r="C189" t="s">
        <v>21</v>
      </c>
      <c r="D189" t="s">
        <v>22</v>
      </c>
      <c r="E189">
        <v>1499</v>
      </c>
      <c r="F189">
        <v>5</v>
      </c>
      <c r="G189">
        <v>7495</v>
      </c>
      <c r="H189" t="s">
        <v>62</v>
      </c>
      <c r="I189" t="s">
        <v>125</v>
      </c>
      <c r="J189" t="s">
        <v>90</v>
      </c>
      <c r="K189" t="s">
        <v>18</v>
      </c>
      <c r="L189" t="str">
        <f t="shared" si="4"/>
        <v>Jan</v>
      </c>
      <c r="M189" t="str">
        <f t="shared" si="5"/>
        <v>Saturday</v>
      </c>
    </row>
    <row r="190" spans="1:13">
      <c r="A190" t="s">
        <v>372</v>
      </c>
      <c r="B190" t="s">
        <v>373</v>
      </c>
      <c r="C190" t="s">
        <v>52</v>
      </c>
      <c r="D190" t="s">
        <v>53</v>
      </c>
      <c r="E190">
        <v>199</v>
      </c>
      <c r="F190">
        <v>2</v>
      </c>
      <c r="G190">
        <v>398</v>
      </c>
      <c r="H190" t="s">
        <v>43</v>
      </c>
      <c r="I190" t="s">
        <v>77</v>
      </c>
      <c r="J190" t="s">
        <v>90</v>
      </c>
      <c r="K190" t="s">
        <v>18</v>
      </c>
      <c r="L190" t="str">
        <f t="shared" si="4"/>
        <v>Mar</v>
      </c>
      <c r="M190" t="str">
        <f t="shared" si="5"/>
        <v>Wednesday</v>
      </c>
    </row>
    <row r="191" spans="1:13">
      <c r="A191" t="s">
        <v>374</v>
      </c>
      <c r="B191" t="s">
        <v>375</v>
      </c>
      <c r="C191" t="s">
        <v>70</v>
      </c>
      <c r="D191" t="s">
        <v>29</v>
      </c>
      <c r="E191">
        <v>799</v>
      </c>
      <c r="F191">
        <v>3</v>
      </c>
      <c r="G191">
        <v>2397</v>
      </c>
      <c r="H191" t="s">
        <v>15</v>
      </c>
      <c r="I191" t="s">
        <v>105</v>
      </c>
      <c r="J191" t="s">
        <v>25</v>
      </c>
      <c r="K191" t="s">
        <v>45</v>
      </c>
      <c r="L191" t="str">
        <f t="shared" si="4"/>
        <v>Jan</v>
      </c>
      <c r="M191" t="str">
        <f t="shared" si="5"/>
        <v>Thursday</v>
      </c>
    </row>
    <row r="192" spans="1:13">
      <c r="A192" t="s">
        <v>376</v>
      </c>
      <c r="B192" t="s">
        <v>377</v>
      </c>
      <c r="C192" t="s">
        <v>135</v>
      </c>
      <c r="D192" t="s">
        <v>29</v>
      </c>
      <c r="E192">
        <v>3999</v>
      </c>
      <c r="F192">
        <v>4</v>
      </c>
      <c r="G192">
        <v>15996</v>
      </c>
      <c r="H192" t="s">
        <v>186</v>
      </c>
      <c r="I192" t="s">
        <v>57</v>
      </c>
      <c r="J192" t="s">
        <v>90</v>
      </c>
      <c r="K192" t="s">
        <v>18</v>
      </c>
      <c r="L192" t="str">
        <f t="shared" si="4"/>
        <v>Jun</v>
      </c>
      <c r="M192" t="str">
        <f t="shared" si="5"/>
        <v>Friday</v>
      </c>
    </row>
    <row r="193" spans="1:13">
      <c r="A193" t="s">
        <v>378</v>
      </c>
      <c r="B193" t="s">
        <v>379</v>
      </c>
      <c r="C193" t="s">
        <v>36</v>
      </c>
      <c r="D193" t="s">
        <v>29</v>
      </c>
      <c r="E193">
        <v>1999</v>
      </c>
      <c r="F193">
        <v>2</v>
      </c>
      <c r="G193">
        <v>3998</v>
      </c>
      <c r="H193" t="s">
        <v>71</v>
      </c>
      <c r="I193" t="s">
        <v>77</v>
      </c>
      <c r="J193" t="s">
        <v>32</v>
      </c>
      <c r="K193" t="s">
        <v>18</v>
      </c>
      <c r="L193" t="str">
        <f t="shared" si="4"/>
        <v>Jun</v>
      </c>
      <c r="M193" t="str">
        <f t="shared" si="5"/>
        <v>Friday</v>
      </c>
    </row>
    <row r="194" spans="1:13">
      <c r="A194" t="s">
        <v>380</v>
      </c>
      <c r="B194" t="s">
        <v>381</v>
      </c>
      <c r="C194" t="s">
        <v>52</v>
      </c>
      <c r="D194" t="s">
        <v>53</v>
      </c>
      <c r="E194">
        <v>199</v>
      </c>
      <c r="F194">
        <v>3</v>
      </c>
      <c r="G194">
        <v>597</v>
      </c>
      <c r="H194" t="s">
        <v>102</v>
      </c>
      <c r="I194" t="s">
        <v>105</v>
      </c>
      <c r="J194" t="s">
        <v>25</v>
      </c>
      <c r="K194" t="s">
        <v>18</v>
      </c>
      <c r="L194" t="str">
        <f t="shared" si="4"/>
        <v>Apr</v>
      </c>
      <c r="M194" t="str">
        <f t="shared" si="5"/>
        <v>Thursday</v>
      </c>
    </row>
    <row r="195" spans="1:13">
      <c r="A195" t="s">
        <v>382</v>
      </c>
      <c r="B195" t="s">
        <v>246</v>
      </c>
      <c r="C195" t="s">
        <v>21</v>
      </c>
      <c r="D195" t="s">
        <v>22</v>
      </c>
      <c r="E195">
        <v>1499</v>
      </c>
      <c r="F195">
        <v>4</v>
      </c>
      <c r="G195">
        <v>5996</v>
      </c>
      <c r="H195" t="s">
        <v>23</v>
      </c>
      <c r="I195" t="s">
        <v>82</v>
      </c>
      <c r="J195" t="s">
        <v>17</v>
      </c>
      <c r="K195" t="s">
        <v>18</v>
      </c>
      <c r="L195" t="str">
        <f t="shared" ref="L195:L258" si="6">TEXT(B195,"MMM")</f>
        <v>Jan</v>
      </c>
      <c r="M195" t="str">
        <f t="shared" ref="M195:M258" si="7">TEXT(B195,"dddd")</f>
        <v>Tuesday</v>
      </c>
    </row>
    <row r="196" spans="1:13">
      <c r="A196" t="s">
        <v>383</v>
      </c>
      <c r="B196" t="s">
        <v>161</v>
      </c>
      <c r="C196" t="s">
        <v>162</v>
      </c>
      <c r="D196" t="s">
        <v>29</v>
      </c>
      <c r="E196">
        <v>1799</v>
      </c>
      <c r="F196">
        <v>5</v>
      </c>
      <c r="G196">
        <v>8995</v>
      </c>
      <c r="H196" t="s">
        <v>186</v>
      </c>
      <c r="I196" t="s">
        <v>82</v>
      </c>
      <c r="J196" t="s">
        <v>25</v>
      </c>
      <c r="K196" t="s">
        <v>18</v>
      </c>
      <c r="L196" t="str">
        <f t="shared" si="6"/>
        <v>Apr</v>
      </c>
      <c r="M196" t="str">
        <f t="shared" si="7"/>
        <v>Friday</v>
      </c>
    </row>
    <row r="197" spans="1:13">
      <c r="A197" t="s">
        <v>384</v>
      </c>
      <c r="B197" t="s">
        <v>354</v>
      </c>
      <c r="C197" t="s">
        <v>101</v>
      </c>
      <c r="D197" t="s">
        <v>81</v>
      </c>
      <c r="E197">
        <v>499</v>
      </c>
      <c r="F197">
        <v>3</v>
      </c>
      <c r="G197">
        <v>1497</v>
      </c>
      <c r="H197" t="s">
        <v>23</v>
      </c>
      <c r="I197" t="s">
        <v>31</v>
      </c>
      <c r="J197" t="s">
        <v>90</v>
      </c>
      <c r="K197" t="s">
        <v>45</v>
      </c>
      <c r="L197" t="str">
        <f t="shared" si="6"/>
        <v>May</v>
      </c>
      <c r="M197" t="str">
        <f t="shared" si="7"/>
        <v>Monday</v>
      </c>
    </row>
    <row r="198" spans="1:13">
      <c r="A198" t="s">
        <v>385</v>
      </c>
      <c r="B198" t="s">
        <v>215</v>
      </c>
      <c r="C198" t="s">
        <v>101</v>
      </c>
      <c r="D198" t="s">
        <v>81</v>
      </c>
      <c r="E198">
        <v>499</v>
      </c>
      <c r="F198">
        <v>2</v>
      </c>
      <c r="G198">
        <v>998</v>
      </c>
      <c r="H198" t="s">
        <v>157</v>
      </c>
      <c r="I198" t="s">
        <v>105</v>
      </c>
      <c r="J198" t="s">
        <v>90</v>
      </c>
      <c r="K198" t="s">
        <v>18</v>
      </c>
      <c r="L198" t="str">
        <f t="shared" si="6"/>
        <v>Jan</v>
      </c>
      <c r="M198" t="str">
        <f t="shared" si="7"/>
        <v>Saturday</v>
      </c>
    </row>
    <row r="199" spans="1:13">
      <c r="A199" t="s">
        <v>386</v>
      </c>
      <c r="B199" t="s">
        <v>387</v>
      </c>
      <c r="C199" t="s">
        <v>28</v>
      </c>
      <c r="D199" t="s">
        <v>29</v>
      </c>
      <c r="E199">
        <v>1299</v>
      </c>
      <c r="F199">
        <v>2</v>
      </c>
      <c r="G199">
        <v>2598</v>
      </c>
      <c r="H199" t="s">
        <v>43</v>
      </c>
      <c r="I199" t="s">
        <v>77</v>
      </c>
      <c r="J199" t="s">
        <v>17</v>
      </c>
      <c r="K199" t="s">
        <v>18</v>
      </c>
      <c r="L199" t="str">
        <f t="shared" si="6"/>
        <v>Jun</v>
      </c>
      <c r="M199" t="str">
        <f t="shared" si="7"/>
        <v>Sunday</v>
      </c>
    </row>
    <row r="200" spans="1:13">
      <c r="A200" t="s">
        <v>388</v>
      </c>
      <c r="B200" t="s">
        <v>389</v>
      </c>
      <c r="C200" t="s">
        <v>135</v>
      </c>
      <c r="D200" t="s">
        <v>29</v>
      </c>
      <c r="E200">
        <v>3999</v>
      </c>
      <c r="F200">
        <v>3</v>
      </c>
      <c r="G200">
        <v>11997</v>
      </c>
      <c r="H200" t="s">
        <v>37</v>
      </c>
      <c r="I200" t="s">
        <v>24</v>
      </c>
      <c r="J200" t="s">
        <v>17</v>
      </c>
      <c r="K200" t="s">
        <v>18</v>
      </c>
      <c r="L200" t="str">
        <f t="shared" si="6"/>
        <v>Jun</v>
      </c>
      <c r="M200" t="str">
        <f t="shared" si="7"/>
        <v>Tuesday</v>
      </c>
    </row>
    <row r="201" spans="1:13">
      <c r="A201" t="s">
        <v>390</v>
      </c>
      <c r="B201" t="s">
        <v>391</v>
      </c>
      <c r="C201" t="s">
        <v>76</v>
      </c>
      <c r="D201" t="s">
        <v>49</v>
      </c>
      <c r="E201">
        <v>1599</v>
      </c>
      <c r="F201">
        <v>5</v>
      </c>
      <c r="G201">
        <v>7995</v>
      </c>
      <c r="H201" t="s">
        <v>43</v>
      </c>
      <c r="I201" t="s">
        <v>16</v>
      </c>
      <c r="J201" t="s">
        <v>17</v>
      </c>
      <c r="K201" t="s">
        <v>18</v>
      </c>
      <c r="L201" t="str">
        <f t="shared" si="6"/>
        <v>May</v>
      </c>
      <c r="M201" t="str">
        <f t="shared" si="7"/>
        <v>Saturday</v>
      </c>
    </row>
    <row r="202" spans="1:13">
      <c r="A202" t="s">
        <v>392</v>
      </c>
      <c r="B202" t="s">
        <v>185</v>
      </c>
      <c r="C202" t="s">
        <v>87</v>
      </c>
      <c r="D202" t="s">
        <v>88</v>
      </c>
      <c r="E202">
        <v>5499</v>
      </c>
      <c r="F202">
        <v>4</v>
      </c>
      <c r="G202">
        <v>21996</v>
      </c>
      <c r="H202" t="s">
        <v>56</v>
      </c>
      <c r="I202" t="s">
        <v>82</v>
      </c>
      <c r="J202" t="s">
        <v>32</v>
      </c>
      <c r="K202" t="s">
        <v>18</v>
      </c>
      <c r="L202" t="str">
        <f t="shared" si="6"/>
        <v>Mar</v>
      </c>
      <c r="M202" t="str">
        <f t="shared" si="7"/>
        <v>Monday</v>
      </c>
    </row>
    <row r="203" spans="1:13">
      <c r="A203" t="s">
        <v>393</v>
      </c>
      <c r="B203" t="s">
        <v>356</v>
      </c>
      <c r="C203" t="s">
        <v>122</v>
      </c>
      <c r="D203" t="s">
        <v>29</v>
      </c>
      <c r="E203">
        <v>1299</v>
      </c>
      <c r="F203">
        <v>4</v>
      </c>
      <c r="G203">
        <v>5196</v>
      </c>
      <c r="H203" t="s">
        <v>71</v>
      </c>
      <c r="I203" t="s">
        <v>44</v>
      </c>
      <c r="J203" t="s">
        <v>90</v>
      </c>
      <c r="K203" t="s">
        <v>33</v>
      </c>
      <c r="L203" t="str">
        <f t="shared" si="6"/>
        <v>Feb</v>
      </c>
      <c r="M203" t="str">
        <f t="shared" si="7"/>
        <v>Wednesday</v>
      </c>
    </row>
    <row r="204" spans="1:13">
      <c r="A204" t="s">
        <v>394</v>
      </c>
      <c r="B204" t="s">
        <v>395</v>
      </c>
      <c r="C204" t="s">
        <v>70</v>
      </c>
      <c r="D204" t="s">
        <v>29</v>
      </c>
      <c r="E204">
        <v>799</v>
      </c>
      <c r="F204">
        <v>1</v>
      </c>
      <c r="G204">
        <v>799</v>
      </c>
      <c r="H204" t="s">
        <v>37</v>
      </c>
      <c r="I204" t="s">
        <v>31</v>
      </c>
      <c r="J204" t="s">
        <v>25</v>
      </c>
      <c r="K204" t="s">
        <v>18</v>
      </c>
      <c r="L204" t="str">
        <f t="shared" si="6"/>
        <v>Apr</v>
      </c>
      <c r="M204" t="str">
        <f t="shared" si="7"/>
        <v>Sunday</v>
      </c>
    </row>
    <row r="205" spans="1:13">
      <c r="A205" t="s">
        <v>396</v>
      </c>
      <c r="B205" t="s">
        <v>156</v>
      </c>
      <c r="C205" t="s">
        <v>60</v>
      </c>
      <c r="D205" t="s">
        <v>61</v>
      </c>
      <c r="E205">
        <v>899</v>
      </c>
      <c r="F205">
        <v>4</v>
      </c>
      <c r="G205">
        <v>3596</v>
      </c>
      <c r="H205" t="s">
        <v>71</v>
      </c>
      <c r="I205" t="s">
        <v>16</v>
      </c>
      <c r="J205" t="s">
        <v>38</v>
      </c>
      <c r="K205" t="s">
        <v>33</v>
      </c>
      <c r="L205" t="str">
        <f t="shared" si="6"/>
        <v>Mar</v>
      </c>
      <c r="M205" t="str">
        <f t="shared" si="7"/>
        <v>Tuesday</v>
      </c>
    </row>
    <row r="206" spans="1:13">
      <c r="A206" t="s">
        <v>397</v>
      </c>
      <c r="B206" t="s">
        <v>398</v>
      </c>
      <c r="C206" t="s">
        <v>122</v>
      </c>
      <c r="D206" t="s">
        <v>29</v>
      </c>
      <c r="E206">
        <v>1299</v>
      </c>
      <c r="F206">
        <v>4</v>
      </c>
      <c r="G206">
        <v>5196</v>
      </c>
      <c r="H206" t="s">
        <v>71</v>
      </c>
      <c r="I206" t="s">
        <v>125</v>
      </c>
      <c r="J206" t="s">
        <v>25</v>
      </c>
      <c r="K206" t="s">
        <v>18</v>
      </c>
      <c r="L206" t="str">
        <f t="shared" si="6"/>
        <v>Jan</v>
      </c>
      <c r="M206" t="str">
        <f t="shared" si="7"/>
        <v>Friday</v>
      </c>
    </row>
    <row r="207" spans="1:13">
      <c r="A207" t="s">
        <v>399</v>
      </c>
      <c r="B207" t="s">
        <v>265</v>
      </c>
      <c r="C207" t="s">
        <v>52</v>
      </c>
      <c r="D207" t="s">
        <v>53</v>
      </c>
      <c r="E207">
        <v>199</v>
      </c>
      <c r="F207">
        <v>4</v>
      </c>
      <c r="G207">
        <v>796</v>
      </c>
      <c r="H207" t="s">
        <v>71</v>
      </c>
      <c r="I207" t="s">
        <v>44</v>
      </c>
      <c r="J207" t="s">
        <v>17</v>
      </c>
      <c r="K207" t="s">
        <v>18</v>
      </c>
      <c r="L207" t="str">
        <f t="shared" si="6"/>
        <v>Apr</v>
      </c>
      <c r="M207" t="str">
        <f t="shared" si="7"/>
        <v>Sunday</v>
      </c>
    </row>
    <row r="208" spans="1:13">
      <c r="A208" t="s">
        <v>400</v>
      </c>
      <c r="B208" t="s">
        <v>361</v>
      </c>
      <c r="C208" t="s">
        <v>122</v>
      </c>
      <c r="D208" t="s">
        <v>29</v>
      </c>
      <c r="E208">
        <v>1299</v>
      </c>
      <c r="F208">
        <v>2</v>
      </c>
      <c r="G208">
        <v>2598</v>
      </c>
      <c r="H208" t="s">
        <v>37</v>
      </c>
      <c r="I208" t="s">
        <v>63</v>
      </c>
      <c r="J208" t="s">
        <v>25</v>
      </c>
      <c r="K208" t="s">
        <v>45</v>
      </c>
      <c r="L208" t="str">
        <f t="shared" si="6"/>
        <v>Feb</v>
      </c>
      <c r="M208" t="str">
        <f t="shared" si="7"/>
        <v>Tuesday</v>
      </c>
    </row>
    <row r="209" spans="1:13">
      <c r="A209" t="s">
        <v>401</v>
      </c>
      <c r="B209" t="s">
        <v>402</v>
      </c>
      <c r="C209" t="s">
        <v>13</v>
      </c>
      <c r="D209" t="s">
        <v>14</v>
      </c>
      <c r="E209">
        <v>2499</v>
      </c>
      <c r="F209">
        <v>2</v>
      </c>
      <c r="G209">
        <v>4998</v>
      </c>
      <c r="H209" t="s">
        <v>66</v>
      </c>
      <c r="I209" t="s">
        <v>82</v>
      </c>
      <c r="J209" t="s">
        <v>38</v>
      </c>
      <c r="K209" t="s">
        <v>45</v>
      </c>
      <c r="L209" t="str">
        <f t="shared" si="6"/>
        <v>Jun</v>
      </c>
      <c r="M209" t="str">
        <f t="shared" si="7"/>
        <v>Friday</v>
      </c>
    </row>
    <row r="210" spans="1:13">
      <c r="A210" t="s">
        <v>403</v>
      </c>
      <c r="B210" t="s">
        <v>175</v>
      </c>
      <c r="C210" t="s">
        <v>80</v>
      </c>
      <c r="D210" t="s">
        <v>81</v>
      </c>
      <c r="E210">
        <v>299</v>
      </c>
      <c r="F210">
        <v>3</v>
      </c>
      <c r="G210">
        <v>897</v>
      </c>
      <c r="H210" t="s">
        <v>66</v>
      </c>
      <c r="I210" t="s">
        <v>67</v>
      </c>
      <c r="J210" t="s">
        <v>90</v>
      </c>
      <c r="K210" t="s">
        <v>45</v>
      </c>
      <c r="L210" t="str">
        <f t="shared" si="6"/>
        <v>May</v>
      </c>
      <c r="M210" t="str">
        <f t="shared" si="7"/>
        <v>Thursday</v>
      </c>
    </row>
    <row r="211" spans="1:13">
      <c r="A211" t="s">
        <v>404</v>
      </c>
      <c r="B211" t="s">
        <v>377</v>
      </c>
      <c r="C211" t="s">
        <v>28</v>
      </c>
      <c r="D211" t="s">
        <v>29</v>
      </c>
      <c r="E211">
        <v>1299</v>
      </c>
      <c r="F211">
        <v>3</v>
      </c>
      <c r="G211">
        <v>3897</v>
      </c>
      <c r="H211" t="s">
        <v>23</v>
      </c>
      <c r="I211" t="s">
        <v>125</v>
      </c>
      <c r="J211" t="s">
        <v>90</v>
      </c>
      <c r="K211" t="s">
        <v>18</v>
      </c>
      <c r="L211" t="str">
        <f t="shared" si="6"/>
        <v>Jun</v>
      </c>
      <c r="M211" t="str">
        <f t="shared" si="7"/>
        <v>Friday</v>
      </c>
    </row>
    <row r="212" spans="1:13">
      <c r="A212" t="s">
        <v>405</v>
      </c>
      <c r="B212" t="s">
        <v>406</v>
      </c>
      <c r="C212" t="s">
        <v>36</v>
      </c>
      <c r="D212" t="s">
        <v>29</v>
      </c>
      <c r="E212">
        <v>1999</v>
      </c>
      <c r="F212">
        <v>1</v>
      </c>
      <c r="G212">
        <v>1999</v>
      </c>
      <c r="H212" t="s">
        <v>30</v>
      </c>
      <c r="I212" t="s">
        <v>82</v>
      </c>
      <c r="J212" t="s">
        <v>17</v>
      </c>
      <c r="K212" t="s">
        <v>33</v>
      </c>
      <c r="L212" t="str">
        <f t="shared" si="6"/>
        <v>Feb</v>
      </c>
      <c r="M212" t="str">
        <f t="shared" si="7"/>
        <v>Wednesday</v>
      </c>
    </row>
    <row r="213" spans="1:13">
      <c r="A213" t="s">
        <v>407</v>
      </c>
      <c r="B213" t="s">
        <v>408</v>
      </c>
      <c r="C213" t="s">
        <v>13</v>
      </c>
      <c r="D213" t="s">
        <v>14</v>
      </c>
      <c r="E213">
        <v>2499</v>
      </c>
      <c r="F213">
        <v>4</v>
      </c>
      <c r="G213">
        <v>9996</v>
      </c>
      <c r="H213" t="s">
        <v>43</v>
      </c>
      <c r="I213" t="s">
        <v>31</v>
      </c>
      <c r="J213" t="s">
        <v>25</v>
      </c>
      <c r="K213" t="s">
        <v>45</v>
      </c>
      <c r="L213" t="str">
        <f t="shared" si="6"/>
        <v>Mar</v>
      </c>
      <c r="M213" t="str">
        <f t="shared" si="7"/>
        <v>Monday</v>
      </c>
    </row>
    <row r="214" spans="1:13">
      <c r="A214" t="s">
        <v>409</v>
      </c>
      <c r="B214" t="s">
        <v>243</v>
      </c>
      <c r="C214" t="s">
        <v>36</v>
      </c>
      <c r="D214" t="s">
        <v>29</v>
      </c>
      <c r="E214">
        <v>1999</v>
      </c>
      <c r="F214">
        <v>1</v>
      </c>
      <c r="G214">
        <v>1999</v>
      </c>
      <c r="H214" t="s">
        <v>95</v>
      </c>
      <c r="I214" t="s">
        <v>98</v>
      </c>
      <c r="J214" t="s">
        <v>32</v>
      </c>
      <c r="K214" t="s">
        <v>18</v>
      </c>
      <c r="L214" t="str">
        <f t="shared" si="6"/>
        <v>Feb</v>
      </c>
      <c r="M214" t="str">
        <f t="shared" si="7"/>
        <v>Friday</v>
      </c>
    </row>
    <row r="215" spans="1:13">
      <c r="A215" t="s">
        <v>410</v>
      </c>
      <c r="B215" t="s">
        <v>219</v>
      </c>
      <c r="C215" t="s">
        <v>80</v>
      </c>
      <c r="D215" t="s">
        <v>81</v>
      </c>
      <c r="E215">
        <v>299</v>
      </c>
      <c r="F215">
        <v>4</v>
      </c>
      <c r="G215">
        <v>1196</v>
      </c>
      <c r="H215" t="s">
        <v>30</v>
      </c>
      <c r="I215" t="s">
        <v>63</v>
      </c>
      <c r="J215" t="s">
        <v>38</v>
      </c>
      <c r="K215" t="s">
        <v>18</v>
      </c>
      <c r="L215" t="str">
        <f t="shared" si="6"/>
        <v>Jan</v>
      </c>
      <c r="M215" t="str">
        <f t="shared" si="7"/>
        <v>Monday</v>
      </c>
    </row>
    <row r="216" spans="1:13">
      <c r="A216" t="s">
        <v>411</v>
      </c>
      <c r="B216" t="s">
        <v>132</v>
      </c>
      <c r="C216" t="s">
        <v>28</v>
      </c>
      <c r="D216" t="s">
        <v>29</v>
      </c>
      <c r="E216">
        <v>1299</v>
      </c>
      <c r="F216">
        <v>2</v>
      </c>
      <c r="G216">
        <v>2598</v>
      </c>
      <c r="H216" t="s">
        <v>56</v>
      </c>
      <c r="I216" t="s">
        <v>125</v>
      </c>
      <c r="J216" t="s">
        <v>32</v>
      </c>
      <c r="K216" t="s">
        <v>45</v>
      </c>
      <c r="L216" t="str">
        <f t="shared" si="6"/>
        <v>Mar</v>
      </c>
      <c r="M216" t="str">
        <f t="shared" si="7"/>
        <v>Friday</v>
      </c>
    </row>
    <row r="217" spans="1:13">
      <c r="A217" t="s">
        <v>412</v>
      </c>
      <c r="B217" t="s">
        <v>413</v>
      </c>
      <c r="C217" t="s">
        <v>122</v>
      </c>
      <c r="D217" t="s">
        <v>29</v>
      </c>
      <c r="E217">
        <v>1299</v>
      </c>
      <c r="F217">
        <v>1</v>
      </c>
      <c r="G217">
        <v>1299</v>
      </c>
      <c r="H217" t="s">
        <v>62</v>
      </c>
      <c r="I217" t="s">
        <v>67</v>
      </c>
      <c r="J217" t="s">
        <v>25</v>
      </c>
      <c r="K217" t="s">
        <v>18</v>
      </c>
      <c r="L217" t="str">
        <f t="shared" si="6"/>
        <v>Apr</v>
      </c>
      <c r="M217" t="str">
        <f t="shared" si="7"/>
        <v>Thursday</v>
      </c>
    </row>
    <row r="218" spans="1:13">
      <c r="A218" t="s">
        <v>414</v>
      </c>
      <c r="B218" t="s">
        <v>415</v>
      </c>
      <c r="C218" t="s">
        <v>76</v>
      </c>
      <c r="D218" t="s">
        <v>49</v>
      </c>
      <c r="E218">
        <v>1599</v>
      </c>
      <c r="F218">
        <v>3</v>
      </c>
      <c r="G218">
        <v>4797</v>
      </c>
      <c r="H218" t="s">
        <v>95</v>
      </c>
      <c r="I218" t="s">
        <v>31</v>
      </c>
      <c r="J218" t="s">
        <v>17</v>
      </c>
      <c r="K218" t="s">
        <v>18</v>
      </c>
      <c r="L218" t="str">
        <f t="shared" si="6"/>
        <v>May</v>
      </c>
      <c r="M218" t="str">
        <f t="shared" si="7"/>
        <v>Tuesday</v>
      </c>
    </row>
    <row r="219" spans="1:13">
      <c r="A219" t="s">
        <v>416</v>
      </c>
      <c r="B219" t="s">
        <v>65</v>
      </c>
      <c r="C219" t="s">
        <v>76</v>
      </c>
      <c r="D219" t="s">
        <v>49</v>
      </c>
      <c r="E219">
        <v>1599</v>
      </c>
      <c r="F219">
        <v>5</v>
      </c>
      <c r="G219">
        <v>7995</v>
      </c>
      <c r="H219" t="s">
        <v>186</v>
      </c>
      <c r="I219" t="s">
        <v>57</v>
      </c>
      <c r="J219" t="s">
        <v>25</v>
      </c>
      <c r="K219" t="s">
        <v>18</v>
      </c>
      <c r="L219" t="str">
        <f t="shared" si="6"/>
        <v>Jan</v>
      </c>
      <c r="M219" t="str">
        <f t="shared" si="7"/>
        <v>Thursday</v>
      </c>
    </row>
    <row r="220" spans="1:13">
      <c r="A220" t="s">
        <v>417</v>
      </c>
      <c r="B220" t="s">
        <v>92</v>
      </c>
      <c r="C220" t="s">
        <v>135</v>
      </c>
      <c r="D220" t="s">
        <v>29</v>
      </c>
      <c r="E220">
        <v>3999</v>
      </c>
      <c r="F220">
        <v>3</v>
      </c>
      <c r="G220">
        <v>11997</v>
      </c>
      <c r="H220" t="s">
        <v>89</v>
      </c>
      <c r="I220" t="s">
        <v>77</v>
      </c>
      <c r="J220" t="s">
        <v>32</v>
      </c>
      <c r="K220" t="s">
        <v>18</v>
      </c>
      <c r="L220" t="str">
        <f t="shared" si="6"/>
        <v>Feb</v>
      </c>
      <c r="M220" t="str">
        <f t="shared" si="7"/>
        <v>Saturday</v>
      </c>
    </row>
    <row r="221" spans="1:13">
      <c r="A221" t="s">
        <v>418</v>
      </c>
      <c r="B221" t="s">
        <v>150</v>
      </c>
      <c r="C221" t="s">
        <v>36</v>
      </c>
      <c r="D221" t="s">
        <v>29</v>
      </c>
      <c r="E221">
        <v>1999</v>
      </c>
      <c r="F221">
        <v>4</v>
      </c>
      <c r="G221">
        <v>7996</v>
      </c>
      <c r="H221" t="s">
        <v>23</v>
      </c>
      <c r="I221" t="s">
        <v>67</v>
      </c>
      <c r="J221" t="s">
        <v>38</v>
      </c>
      <c r="K221" t="s">
        <v>33</v>
      </c>
      <c r="L221" t="str">
        <f t="shared" si="6"/>
        <v>Feb</v>
      </c>
      <c r="M221" t="str">
        <f t="shared" si="7"/>
        <v>Sunday</v>
      </c>
    </row>
    <row r="222" spans="1:13">
      <c r="A222" t="s">
        <v>419</v>
      </c>
      <c r="B222" t="s">
        <v>255</v>
      </c>
      <c r="C222" t="s">
        <v>80</v>
      </c>
      <c r="D222" t="s">
        <v>81</v>
      </c>
      <c r="E222">
        <v>299</v>
      </c>
      <c r="F222">
        <v>1</v>
      </c>
      <c r="G222">
        <v>299</v>
      </c>
      <c r="H222" t="s">
        <v>119</v>
      </c>
      <c r="I222" t="s">
        <v>125</v>
      </c>
      <c r="J222" t="s">
        <v>17</v>
      </c>
      <c r="K222" t="s">
        <v>18</v>
      </c>
      <c r="L222" t="str">
        <f t="shared" si="6"/>
        <v>Mar</v>
      </c>
      <c r="M222" t="str">
        <f t="shared" si="7"/>
        <v>Thursday</v>
      </c>
    </row>
    <row r="223" spans="1:13">
      <c r="A223" t="s">
        <v>420</v>
      </c>
      <c r="B223" t="s">
        <v>55</v>
      </c>
      <c r="C223" t="s">
        <v>101</v>
      </c>
      <c r="D223" t="s">
        <v>81</v>
      </c>
      <c r="E223">
        <v>499</v>
      </c>
      <c r="F223">
        <v>5</v>
      </c>
      <c r="G223">
        <v>2495</v>
      </c>
      <c r="H223" t="s">
        <v>30</v>
      </c>
      <c r="I223" t="s">
        <v>63</v>
      </c>
      <c r="J223" t="s">
        <v>25</v>
      </c>
      <c r="K223" t="s">
        <v>18</v>
      </c>
      <c r="L223" t="str">
        <f t="shared" si="6"/>
        <v>Mar</v>
      </c>
      <c r="M223" t="str">
        <f t="shared" si="7"/>
        <v>Sunday</v>
      </c>
    </row>
    <row r="224" spans="1:13">
      <c r="A224" t="s">
        <v>421</v>
      </c>
      <c r="B224" t="s">
        <v>97</v>
      </c>
      <c r="C224" t="s">
        <v>21</v>
      </c>
      <c r="D224" t="s">
        <v>22</v>
      </c>
      <c r="E224">
        <v>1499</v>
      </c>
      <c r="F224">
        <v>3</v>
      </c>
      <c r="G224">
        <v>4497</v>
      </c>
      <c r="H224" t="s">
        <v>62</v>
      </c>
      <c r="I224" t="s">
        <v>31</v>
      </c>
      <c r="J224" t="s">
        <v>90</v>
      </c>
      <c r="K224" t="s">
        <v>18</v>
      </c>
      <c r="L224" t="str">
        <f t="shared" si="6"/>
        <v>Mar</v>
      </c>
      <c r="M224" t="str">
        <f t="shared" si="7"/>
        <v>Sunday</v>
      </c>
    </row>
    <row r="225" spans="1:13">
      <c r="A225" t="s">
        <v>422</v>
      </c>
      <c r="B225" t="s">
        <v>423</v>
      </c>
      <c r="C225" t="s">
        <v>135</v>
      </c>
      <c r="D225" t="s">
        <v>29</v>
      </c>
      <c r="E225">
        <v>3999</v>
      </c>
      <c r="F225">
        <v>3</v>
      </c>
      <c r="G225">
        <v>11997</v>
      </c>
      <c r="H225" t="s">
        <v>56</v>
      </c>
      <c r="I225" t="s">
        <v>63</v>
      </c>
      <c r="J225" t="s">
        <v>25</v>
      </c>
      <c r="K225" t="s">
        <v>45</v>
      </c>
      <c r="L225" t="str">
        <f t="shared" si="6"/>
        <v>Apr</v>
      </c>
      <c r="M225" t="str">
        <f t="shared" si="7"/>
        <v>Tuesday</v>
      </c>
    </row>
    <row r="226" spans="1:13">
      <c r="A226" t="s">
        <v>424</v>
      </c>
      <c r="B226" t="s">
        <v>300</v>
      </c>
      <c r="C226" t="s">
        <v>80</v>
      </c>
      <c r="D226" t="s">
        <v>81</v>
      </c>
      <c r="E226">
        <v>299</v>
      </c>
      <c r="F226">
        <v>3</v>
      </c>
      <c r="G226">
        <v>897</v>
      </c>
      <c r="H226" t="s">
        <v>186</v>
      </c>
      <c r="I226" t="s">
        <v>16</v>
      </c>
      <c r="J226" t="s">
        <v>90</v>
      </c>
      <c r="K226" t="s">
        <v>18</v>
      </c>
      <c r="L226" t="str">
        <f t="shared" si="6"/>
        <v>Jan</v>
      </c>
      <c r="M226" t="str">
        <f t="shared" si="7"/>
        <v>Friday</v>
      </c>
    </row>
    <row r="227" spans="1:13">
      <c r="A227" t="s">
        <v>425</v>
      </c>
      <c r="B227" t="s">
        <v>406</v>
      </c>
      <c r="C227" t="s">
        <v>122</v>
      </c>
      <c r="D227" t="s">
        <v>29</v>
      </c>
      <c r="E227">
        <v>1299</v>
      </c>
      <c r="F227">
        <v>2</v>
      </c>
      <c r="G227">
        <v>2598</v>
      </c>
      <c r="H227" t="s">
        <v>186</v>
      </c>
      <c r="I227" t="s">
        <v>24</v>
      </c>
      <c r="J227" t="s">
        <v>90</v>
      </c>
      <c r="K227" t="s">
        <v>45</v>
      </c>
      <c r="L227" t="str">
        <f t="shared" si="6"/>
        <v>Feb</v>
      </c>
      <c r="M227" t="str">
        <f t="shared" si="7"/>
        <v>Wednesday</v>
      </c>
    </row>
    <row r="228" spans="1:13">
      <c r="A228" t="s">
        <v>426</v>
      </c>
      <c r="B228" t="s">
        <v>387</v>
      </c>
      <c r="C228" t="s">
        <v>80</v>
      </c>
      <c r="D228" t="s">
        <v>81</v>
      </c>
      <c r="E228">
        <v>299</v>
      </c>
      <c r="F228">
        <v>3</v>
      </c>
      <c r="G228">
        <v>897</v>
      </c>
      <c r="H228" t="s">
        <v>37</v>
      </c>
      <c r="I228" t="s">
        <v>98</v>
      </c>
      <c r="J228" t="s">
        <v>25</v>
      </c>
      <c r="K228" t="s">
        <v>18</v>
      </c>
      <c r="L228" t="str">
        <f t="shared" si="6"/>
        <v>Jun</v>
      </c>
      <c r="M228" t="str">
        <f t="shared" si="7"/>
        <v>Sunday</v>
      </c>
    </row>
    <row r="229" spans="1:13">
      <c r="A229" t="s">
        <v>427</v>
      </c>
      <c r="B229" t="s">
        <v>198</v>
      </c>
      <c r="C229" t="s">
        <v>60</v>
      </c>
      <c r="D229" t="s">
        <v>61</v>
      </c>
      <c r="E229">
        <v>899</v>
      </c>
      <c r="F229">
        <v>1</v>
      </c>
      <c r="G229">
        <v>899</v>
      </c>
      <c r="H229" t="s">
        <v>71</v>
      </c>
      <c r="I229" t="s">
        <v>24</v>
      </c>
      <c r="J229" t="s">
        <v>38</v>
      </c>
      <c r="K229" t="s">
        <v>18</v>
      </c>
      <c r="L229" t="str">
        <f t="shared" si="6"/>
        <v>May</v>
      </c>
      <c r="M229" t="str">
        <f t="shared" si="7"/>
        <v>Tuesday</v>
      </c>
    </row>
    <row r="230" spans="1:13">
      <c r="A230" t="s">
        <v>428</v>
      </c>
      <c r="B230" t="s">
        <v>429</v>
      </c>
      <c r="C230" t="s">
        <v>76</v>
      </c>
      <c r="D230" t="s">
        <v>49</v>
      </c>
      <c r="E230">
        <v>1599</v>
      </c>
      <c r="F230">
        <v>5</v>
      </c>
      <c r="G230">
        <v>7995</v>
      </c>
      <c r="H230" t="s">
        <v>66</v>
      </c>
      <c r="I230" t="s">
        <v>105</v>
      </c>
      <c r="J230" t="s">
        <v>38</v>
      </c>
      <c r="K230" t="s">
        <v>18</v>
      </c>
      <c r="L230" t="str">
        <f t="shared" si="6"/>
        <v>Apr</v>
      </c>
      <c r="M230" t="str">
        <f t="shared" si="7"/>
        <v>Wednesday</v>
      </c>
    </row>
    <row r="231" spans="1:13">
      <c r="A231" t="s">
        <v>430</v>
      </c>
      <c r="B231" t="s">
        <v>431</v>
      </c>
      <c r="C231" t="s">
        <v>52</v>
      </c>
      <c r="D231" t="s">
        <v>53</v>
      </c>
      <c r="E231">
        <v>199</v>
      </c>
      <c r="F231">
        <v>2</v>
      </c>
      <c r="G231">
        <v>398</v>
      </c>
      <c r="H231" t="s">
        <v>15</v>
      </c>
      <c r="I231" t="s">
        <v>44</v>
      </c>
      <c r="J231" t="s">
        <v>90</v>
      </c>
      <c r="K231" t="s">
        <v>18</v>
      </c>
      <c r="L231" t="str">
        <f t="shared" si="6"/>
        <v>Feb</v>
      </c>
      <c r="M231" t="str">
        <f t="shared" si="7"/>
        <v>Thursday</v>
      </c>
    </row>
    <row r="232" spans="1:13">
      <c r="A232" t="s">
        <v>432</v>
      </c>
      <c r="B232" t="s">
        <v>391</v>
      </c>
      <c r="C232" t="s">
        <v>13</v>
      </c>
      <c r="D232" t="s">
        <v>14</v>
      </c>
      <c r="E232">
        <v>2499</v>
      </c>
      <c r="F232">
        <v>4</v>
      </c>
      <c r="G232">
        <v>9996</v>
      </c>
      <c r="H232" t="s">
        <v>71</v>
      </c>
      <c r="I232" t="s">
        <v>77</v>
      </c>
      <c r="J232" t="s">
        <v>17</v>
      </c>
      <c r="K232" t="s">
        <v>33</v>
      </c>
      <c r="L232" t="str">
        <f t="shared" si="6"/>
        <v>May</v>
      </c>
      <c r="M232" t="str">
        <f t="shared" si="7"/>
        <v>Saturday</v>
      </c>
    </row>
    <row r="233" spans="1:13">
      <c r="A233" t="s">
        <v>433</v>
      </c>
      <c r="B233" t="s">
        <v>434</v>
      </c>
      <c r="C233" t="s">
        <v>162</v>
      </c>
      <c r="D233" t="s">
        <v>29</v>
      </c>
      <c r="E233">
        <v>1799</v>
      </c>
      <c r="F233">
        <v>3</v>
      </c>
      <c r="G233">
        <v>5397</v>
      </c>
      <c r="H233" t="s">
        <v>71</v>
      </c>
      <c r="I233" t="s">
        <v>31</v>
      </c>
      <c r="J233" t="s">
        <v>32</v>
      </c>
      <c r="K233" t="s">
        <v>18</v>
      </c>
      <c r="L233" t="str">
        <f t="shared" si="6"/>
        <v>Mar</v>
      </c>
      <c r="M233" t="str">
        <f t="shared" si="7"/>
        <v>Friday</v>
      </c>
    </row>
    <row r="234" spans="1:13">
      <c r="A234" t="s">
        <v>435</v>
      </c>
      <c r="B234" t="s">
        <v>156</v>
      </c>
      <c r="C234" t="s">
        <v>36</v>
      </c>
      <c r="D234" t="s">
        <v>29</v>
      </c>
      <c r="E234">
        <v>1999</v>
      </c>
      <c r="F234">
        <v>3</v>
      </c>
      <c r="G234">
        <v>5997</v>
      </c>
      <c r="H234" t="s">
        <v>102</v>
      </c>
      <c r="I234" t="s">
        <v>24</v>
      </c>
      <c r="J234" t="s">
        <v>90</v>
      </c>
      <c r="K234" t="s">
        <v>45</v>
      </c>
      <c r="L234" t="str">
        <f t="shared" si="6"/>
        <v>Mar</v>
      </c>
      <c r="M234" t="str">
        <f t="shared" si="7"/>
        <v>Tuesday</v>
      </c>
    </row>
    <row r="235" spans="1:13">
      <c r="A235" t="s">
        <v>436</v>
      </c>
      <c r="B235" t="s">
        <v>212</v>
      </c>
      <c r="C235" t="s">
        <v>101</v>
      </c>
      <c r="D235" t="s">
        <v>81</v>
      </c>
      <c r="E235">
        <v>499</v>
      </c>
      <c r="F235">
        <v>5</v>
      </c>
      <c r="G235">
        <v>2495</v>
      </c>
      <c r="H235" t="s">
        <v>62</v>
      </c>
      <c r="I235" t="s">
        <v>57</v>
      </c>
      <c r="J235" t="s">
        <v>32</v>
      </c>
      <c r="K235" t="s">
        <v>45</v>
      </c>
      <c r="L235" t="str">
        <f t="shared" si="6"/>
        <v>Mar</v>
      </c>
      <c r="M235" t="str">
        <f t="shared" si="7"/>
        <v>Monday</v>
      </c>
    </row>
    <row r="236" spans="1:13">
      <c r="A236" t="s">
        <v>437</v>
      </c>
      <c r="B236" t="s">
        <v>267</v>
      </c>
      <c r="C236" t="s">
        <v>60</v>
      </c>
      <c r="D236" t="s">
        <v>61</v>
      </c>
      <c r="E236">
        <v>899</v>
      </c>
      <c r="F236">
        <v>5</v>
      </c>
      <c r="G236">
        <v>4495</v>
      </c>
      <c r="H236" t="s">
        <v>186</v>
      </c>
      <c r="I236" t="s">
        <v>31</v>
      </c>
      <c r="J236" t="s">
        <v>17</v>
      </c>
      <c r="K236" t="s">
        <v>18</v>
      </c>
      <c r="L236" t="str">
        <f t="shared" si="6"/>
        <v>Mar</v>
      </c>
      <c r="M236" t="str">
        <f t="shared" si="7"/>
        <v>Saturday</v>
      </c>
    </row>
    <row r="237" spans="1:13">
      <c r="A237" t="s">
        <v>438</v>
      </c>
      <c r="B237" t="s">
        <v>274</v>
      </c>
      <c r="C237" t="s">
        <v>87</v>
      </c>
      <c r="D237" t="s">
        <v>88</v>
      </c>
      <c r="E237">
        <v>5499</v>
      </c>
      <c r="F237">
        <v>2</v>
      </c>
      <c r="G237">
        <v>10998</v>
      </c>
      <c r="H237" t="s">
        <v>37</v>
      </c>
      <c r="I237" t="s">
        <v>82</v>
      </c>
      <c r="J237" t="s">
        <v>25</v>
      </c>
      <c r="K237" t="s">
        <v>18</v>
      </c>
      <c r="L237" t="str">
        <f t="shared" si="6"/>
        <v>Mar</v>
      </c>
      <c r="M237" t="str">
        <f t="shared" si="7"/>
        <v>Sunday</v>
      </c>
    </row>
    <row r="238" spans="1:13">
      <c r="A238" t="s">
        <v>439</v>
      </c>
      <c r="B238" t="s">
        <v>145</v>
      </c>
      <c r="C238" t="s">
        <v>60</v>
      </c>
      <c r="D238" t="s">
        <v>61</v>
      </c>
      <c r="E238">
        <v>899</v>
      </c>
      <c r="F238">
        <v>1</v>
      </c>
      <c r="G238">
        <v>899</v>
      </c>
      <c r="H238" t="s">
        <v>71</v>
      </c>
      <c r="I238" t="s">
        <v>63</v>
      </c>
      <c r="J238" t="s">
        <v>32</v>
      </c>
      <c r="K238" t="s">
        <v>18</v>
      </c>
      <c r="L238" t="str">
        <f t="shared" si="6"/>
        <v>Mar</v>
      </c>
      <c r="M238" t="str">
        <f t="shared" si="7"/>
        <v>Thursday</v>
      </c>
    </row>
    <row r="239" spans="1:13">
      <c r="A239" t="s">
        <v>440</v>
      </c>
      <c r="B239" t="s">
        <v>227</v>
      </c>
      <c r="C239" t="s">
        <v>36</v>
      </c>
      <c r="D239" t="s">
        <v>29</v>
      </c>
      <c r="E239">
        <v>1999</v>
      </c>
      <c r="F239">
        <v>5</v>
      </c>
      <c r="G239">
        <v>9995</v>
      </c>
      <c r="H239" t="s">
        <v>62</v>
      </c>
      <c r="I239" t="s">
        <v>77</v>
      </c>
      <c r="J239" t="s">
        <v>17</v>
      </c>
      <c r="K239" t="s">
        <v>18</v>
      </c>
      <c r="L239" t="str">
        <f t="shared" si="6"/>
        <v>Jan</v>
      </c>
      <c r="M239" t="str">
        <f t="shared" si="7"/>
        <v>Sunday</v>
      </c>
    </row>
    <row r="240" spans="1:13">
      <c r="A240" t="s">
        <v>441</v>
      </c>
      <c r="B240" t="s">
        <v>442</v>
      </c>
      <c r="C240" t="s">
        <v>70</v>
      </c>
      <c r="D240" t="s">
        <v>29</v>
      </c>
      <c r="E240">
        <v>799</v>
      </c>
      <c r="F240">
        <v>3</v>
      </c>
      <c r="G240">
        <v>2397</v>
      </c>
      <c r="H240" t="s">
        <v>15</v>
      </c>
      <c r="I240" t="s">
        <v>16</v>
      </c>
      <c r="J240" t="s">
        <v>32</v>
      </c>
      <c r="K240" t="s">
        <v>18</v>
      </c>
      <c r="L240" t="str">
        <f t="shared" si="6"/>
        <v>Apr</v>
      </c>
      <c r="M240" t="str">
        <f t="shared" si="7"/>
        <v>Wednesday</v>
      </c>
    </row>
    <row r="241" spans="1:13">
      <c r="A241" t="s">
        <v>443</v>
      </c>
      <c r="B241" t="s">
        <v>347</v>
      </c>
      <c r="C241" t="s">
        <v>36</v>
      </c>
      <c r="D241" t="s">
        <v>29</v>
      </c>
      <c r="E241">
        <v>1999</v>
      </c>
      <c r="F241">
        <v>3</v>
      </c>
      <c r="G241">
        <v>5997</v>
      </c>
      <c r="H241" t="s">
        <v>157</v>
      </c>
      <c r="I241" t="s">
        <v>105</v>
      </c>
      <c r="J241" t="s">
        <v>38</v>
      </c>
      <c r="K241" t="s">
        <v>18</v>
      </c>
      <c r="L241" t="str">
        <f t="shared" si="6"/>
        <v>Feb</v>
      </c>
      <c r="M241" t="str">
        <f t="shared" si="7"/>
        <v>Friday</v>
      </c>
    </row>
    <row r="242" spans="1:13">
      <c r="A242" t="s">
        <v>444</v>
      </c>
      <c r="B242" t="s">
        <v>445</v>
      </c>
      <c r="C242" t="s">
        <v>135</v>
      </c>
      <c r="D242" t="s">
        <v>29</v>
      </c>
      <c r="E242">
        <v>3999</v>
      </c>
      <c r="F242">
        <v>3</v>
      </c>
      <c r="G242">
        <v>11997</v>
      </c>
      <c r="H242" t="s">
        <v>66</v>
      </c>
      <c r="I242" t="s">
        <v>44</v>
      </c>
      <c r="J242" t="s">
        <v>32</v>
      </c>
      <c r="K242" t="s">
        <v>18</v>
      </c>
      <c r="L242" t="str">
        <f t="shared" si="6"/>
        <v>May</v>
      </c>
      <c r="M242" t="str">
        <f t="shared" si="7"/>
        <v>Wednesday</v>
      </c>
    </row>
    <row r="243" spans="1:13">
      <c r="A243" t="s">
        <v>446</v>
      </c>
      <c r="B243" t="s">
        <v>447</v>
      </c>
      <c r="C243" t="s">
        <v>70</v>
      </c>
      <c r="D243" t="s">
        <v>29</v>
      </c>
      <c r="E243">
        <v>799</v>
      </c>
      <c r="F243">
        <v>4</v>
      </c>
      <c r="G243">
        <v>3196</v>
      </c>
      <c r="H243" t="s">
        <v>89</v>
      </c>
      <c r="I243" t="s">
        <v>24</v>
      </c>
      <c r="J243" t="s">
        <v>38</v>
      </c>
      <c r="K243" t="s">
        <v>33</v>
      </c>
      <c r="L243" t="str">
        <f t="shared" si="6"/>
        <v>May</v>
      </c>
      <c r="M243" t="str">
        <f t="shared" si="7"/>
        <v>Friday</v>
      </c>
    </row>
    <row r="244" spans="1:13">
      <c r="A244" t="s">
        <v>448</v>
      </c>
      <c r="B244" t="s">
        <v>65</v>
      </c>
      <c r="C244" t="s">
        <v>122</v>
      </c>
      <c r="D244" t="s">
        <v>29</v>
      </c>
      <c r="E244">
        <v>1299</v>
      </c>
      <c r="F244">
        <v>4</v>
      </c>
      <c r="G244">
        <v>5196</v>
      </c>
      <c r="H244" t="s">
        <v>30</v>
      </c>
      <c r="I244" t="s">
        <v>57</v>
      </c>
      <c r="J244" t="s">
        <v>17</v>
      </c>
      <c r="K244" t="s">
        <v>45</v>
      </c>
      <c r="L244" t="str">
        <f t="shared" si="6"/>
        <v>Jan</v>
      </c>
      <c r="M244" t="str">
        <f t="shared" si="7"/>
        <v>Thursday</v>
      </c>
    </row>
    <row r="245" spans="1:13">
      <c r="A245" t="s">
        <v>449</v>
      </c>
      <c r="B245" t="s">
        <v>450</v>
      </c>
      <c r="C245" t="s">
        <v>70</v>
      </c>
      <c r="D245" t="s">
        <v>29</v>
      </c>
      <c r="E245">
        <v>799</v>
      </c>
      <c r="F245">
        <v>1</v>
      </c>
      <c r="G245">
        <v>799</v>
      </c>
      <c r="H245" t="s">
        <v>56</v>
      </c>
      <c r="I245" t="s">
        <v>67</v>
      </c>
      <c r="J245" t="s">
        <v>17</v>
      </c>
      <c r="K245" t="s">
        <v>18</v>
      </c>
      <c r="L245" t="str">
        <f t="shared" si="6"/>
        <v>Jan</v>
      </c>
      <c r="M245" t="str">
        <f t="shared" si="7"/>
        <v>Saturday</v>
      </c>
    </row>
    <row r="246" spans="1:13">
      <c r="A246" t="s">
        <v>451</v>
      </c>
      <c r="B246" t="s">
        <v>281</v>
      </c>
      <c r="C246" t="s">
        <v>162</v>
      </c>
      <c r="D246" t="s">
        <v>29</v>
      </c>
      <c r="E246">
        <v>1799</v>
      </c>
      <c r="F246">
        <v>3</v>
      </c>
      <c r="G246">
        <v>5397</v>
      </c>
      <c r="H246" t="s">
        <v>62</v>
      </c>
      <c r="I246" t="s">
        <v>105</v>
      </c>
      <c r="J246" t="s">
        <v>32</v>
      </c>
      <c r="K246" t="s">
        <v>45</v>
      </c>
      <c r="L246" t="str">
        <f t="shared" si="6"/>
        <v>Apr</v>
      </c>
      <c r="M246" t="str">
        <f t="shared" si="7"/>
        <v>Saturday</v>
      </c>
    </row>
    <row r="247" spans="1:13">
      <c r="A247" t="s">
        <v>452</v>
      </c>
      <c r="B247" t="s">
        <v>291</v>
      </c>
      <c r="C247" t="s">
        <v>122</v>
      </c>
      <c r="D247" t="s">
        <v>29</v>
      </c>
      <c r="E247">
        <v>1299</v>
      </c>
      <c r="F247">
        <v>4</v>
      </c>
      <c r="G247">
        <v>5196</v>
      </c>
      <c r="H247" t="s">
        <v>186</v>
      </c>
      <c r="I247" t="s">
        <v>82</v>
      </c>
      <c r="J247" t="s">
        <v>17</v>
      </c>
      <c r="K247" t="s">
        <v>18</v>
      </c>
      <c r="L247" t="str">
        <f t="shared" si="6"/>
        <v>Apr</v>
      </c>
      <c r="M247" t="str">
        <f t="shared" si="7"/>
        <v>Saturday</v>
      </c>
    </row>
    <row r="248" spans="1:13">
      <c r="A248" t="s">
        <v>453</v>
      </c>
      <c r="B248" t="s">
        <v>395</v>
      </c>
      <c r="C248" t="s">
        <v>101</v>
      </c>
      <c r="D248" t="s">
        <v>81</v>
      </c>
      <c r="E248">
        <v>499</v>
      </c>
      <c r="F248">
        <v>5</v>
      </c>
      <c r="G248">
        <v>2495</v>
      </c>
      <c r="H248" t="s">
        <v>186</v>
      </c>
      <c r="I248" t="s">
        <v>31</v>
      </c>
      <c r="J248" t="s">
        <v>32</v>
      </c>
      <c r="K248" t="s">
        <v>45</v>
      </c>
      <c r="L248" t="str">
        <f t="shared" si="6"/>
        <v>Apr</v>
      </c>
      <c r="M248" t="str">
        <f t="shared" si="7"/>
        <v>Sunday</v>
      </c>
    </row>
    <row r="249" spans="1:13">
      <c r="A249" t="s">
        <v>454</v>
      </c>
      <c r="B249" t="s">
        <v>310</v>
      </c>
      <c r="C249" t="s">
        <v>48</v>
      </c>
      <c r="D249" t="s">
        <v>49</v>
      </c>
      <c r="E249">
        <v>699</v>
      </c>
      <c r="F249">
        <v>1</v>
      </c>
      <c r="G249">
        <v>699</v>
      </c>
      <c r="H249" t="s">
        <v>102</v>
      </c>
      <c r="I249" t="s">
        <v>16</v>
      </c>
      <c r="J249" t="s">
        <v>90</v>
      </c>
      <c r="K249" t="s">
        <v>18</v>
      </c>
      <c r="L249" t="str">
        <f t="shared" si="6"/>
        <v>Feb</v>
      </c>
      <c r="M249" t="str">
        <f t="shared" si="7"/>
        <v>Sunday</v>
      </c>
    </row>
    <row r="250" spans="1:13">
      <c r="A250" t="s">
        <v>455</v>
      </c>
      <c r="B250" t="s">
        <v>20</v>
      </c>
      <c r="C250" t="s">
        <v>162</v>
      </c>
      <c r="D250" t="s">
        <v>29</v>
      </c>
      <c r="E250">
        <v>1799</v>
      </c>
      <c r="F250">
        <v>2</v>
      </c>
      <c r="G250">
        <v>3598</v>
      </c>
      <c r="H250" t="s">
        <v>23</v>
      </c>
      <c r="I250" t="s">
        <v>125</v>
      </c>
      <c r="J250" t="s">
        <v>38</v>
      </c>
      <c r="K250" t="s">
        <v>18</v>
      </c>
      <c r="L250" t="str">
        <f t="shared" si="6"/>
        <v>Jun</v>
      </c>
      <c r="M250" t="str">
        <f t="shared" si="7"/>
        <v>Friday</v>
      </c>
    </row>
    <row r="251" spans="1:13">
      <c r="A251" t="s">
        <v>456</v>
      </c>
      <c r="B251" t="s">
        <v>457</v>
      </c>
      <c r="C251" t="s">
        <v>60</v>
      </c>
      <c r="D251" t="s">
        <v>61</v>
      </c>
      <c r="E251">
        <v>899</v>
      </c>
      <c r="F251">
        <v>5</v>
      </c>
      <c r="G251">
        <v>4495</v>
      </c>
      <c r="H251" t="s">
        <v>66</v>
      </c>
      <c r="I251" t="s">
        <v>57</v>
      </c>
      <c r="J251" t="s">
        <v>25</v>
      </c>
      <c r="K251" t="s">
        <v>45</v>
      </c>
      <c r="L251" t="str">
        <f t="shared" si="6"/>
        <v>Apr</v>
      </c>
      <c r="M251" t="str">
        <f t="shared" si="7"/>
        <v>Tuesday</v>
      </c>
    </row>
    <row r="252" spans="1:13">
      <c r="A252" t="s">
        <v>458</v>
      </c>
      <c r="B252" t="s">
        <v>459</v>
      </c>
      <c r="C252" t="s">
        <v>76</v>
      </c>
      <c r="D252" t="s">
        <v>49</v>
      </c>
      <c r="E252">
        <v>1599</v>
      </c>
      <c r="F252">
        <v>3</v>
      </c>
      <c r="G252">
        <v>4797</v>
      </c>
      <c r="H252" t="s">
        <v>30</v>
      </c>
      <c r="I252" t="s">
        <v>105</v>
      </c>
      <c r="J252" t="s">
        <v>90</v>
      </c>
      <c r="K252" t="s">
        <v>45</v>
      </c>
      <c r="L252" t="str">
        <f t="shared" si="6"/>
        <v>Apr</v>
      </c>
      <c r="M252" t="str">
        <f t="shared" si="7"/>
        <v>Tuesday</v>
      </c>
    </row>
    <row r="253" spans="1:13">
      <c r="A253" t="s">
        <v>460</v>
      </c>
      <c r="B253" t="s">
        <v>55</v>
      </c>
      <c r="C253" t="s">
        <v>36</v>
      </c>
      <c r="D253" t="s">
        <v>29</v>
      </c>
      <c r="E253">
        <v>1999</v>
      </c>
      <c r="F253">
        <v>3</v>
      </c>
      <c r="G253">
        <v>5997</v>
      </c>
      <c r="H253" t="s">
        <v>62</v>
      </c>
      <c r="I253" t="s">
        <v>125</v>
      </c>
      <c r="J253" t="s">
        <v>32</v>
      </c>
      <c r="K253" t="s">
        <v>18</v>
      </c>
      <c r="L253" t="str">
        <f t="shared" si="6"/>
        <v>Mar</v>
      </c>
      <c r="M253" t="str">
        <f t="shared" si="7"/>
        <v>Sunday</v>
      </c>
    </row>
    <row r="254" spans="1:13">
      <c r="A254" t="s">
        <v>461</v>
      </c>
      <c r="B254" t="s">
        <v>100</v>
      </c>
      <c r="C254" t="s">
        <v>162</v>
      </c>
      <c r="D254" t="s">
        <v>29</v>
      </c>
      <c r="E254">
        <v>1799</v>
      </c>
      <c r="F254">
        <v>3</v>
      </c>
      <c r="G254">
        <v>5397</v>
      </c>
      <c r="H254" t="s">
        <v>23</v>
      </c>
      <c r="I254" t="s">
        <v>77</v>
      </c>
      <c r="J254" t="s">
        <v>17</v>
      </c>
      <c r="K254" t="s">
        <v>18</v>
      </c>
      <c r="L254" t="str">
        <f t="shared" si="6"/>
        <v>Jan</v>
      </c>
      <c r="M254" t="str">
        <f t="shared" si="7"/>
        <v>Friday</v>
      </c>
    </row>
    <row r="255" spans="1:13">
      <c r="A255" t="s">
        <v>462</v>
      </c>
      <c r="B255" t="s">
        <v>219</v>
      </c>
      <c r="C255" t="s">
        <v>135</v>
      </c>
      <c r="D255" t="s">
        <v>29</v>
      </c>
      <c r="E255">
        <v>3999</v>
      </c>
      <c r="F255">
        <v>2</v>
      </c>
      <c r="G255">
        <v>7998</v>
      </c>
      <c r="H255" t="s">
        <v>186</v>
      </c>
      <c r="I255" t="s">
        <v>77</v>
      </c>
      <c r="J255" t="s">
        <v>38</v>
      </c>
      <c r="K255" t="s">
        <v>18</v>
      </c>
      <c r="L255" t="str">
        <f t="shared" si="6"/>
        <v>Jan</v>
      </c>
      <c r="M255" t="str">
        <f t="shared" si="7"/>
        <v>Monday</v>
      </c>
    </row>
    <row r="256" spans="1:13">
      <c r="A256" t="s">
        <v>463</v>
      </c>
      <c r="B256" t="s">
        <v>35</v>
      </c>
      <c r="C256" t="s">
        <v>76</v>
      </c>
      <c r="D256" t="s">
        <v>49</v>
      </c>
      <c r="E256">
        <v>1599</v>
      </c>
      <c r="F256">
        <v>5</v>
      </c>
      <c r="G256">
        <v>7995</v>
      </c>
      <c r="H256" t="s">
        <v>102</v>
      </c>
      <c r="I256" t="s">
        <v>67</v>
      </c>
      <c r="J256" t="s">
        <v>38</v>
      </c>
      <c r="K256" t="s">
        <v>45</v>
      </c>
      <c r="L256" t="str">
        <f t="shared" si="6"/>
        <v>Apr</v>
      </c>
      <c r="M256" t="str">
        <f t="shared" si="7"/>
        <v>Saturday</v>
      </c>
    </row>
    <row r="257" spans="1:13">
      <c r="A257" t="s">
        <v>464</v>
      </c>
      <c r="B257" t="s">
        <v>343</v>
      </c>
      <c r="C257" t="s">
        <v>21</v>
      </c>
      <c r="D257" t="s">
        <v>22</v>
      </c>
      <c r="E257">
        <v>1499</v>
      </c>
      <c r="F257">
        <v>2</v>
      </c>
      <c r="G257">
        <v>2998</v>
      </c>
      <c r="H257" t="s">
        <v>71</v>
      </c>
      <c r="I257" t="s">
        <v>31</v>
      </c>
      <c r="J257" t="s">
        <v>25</v>
      </c>
      <c r="K257" t="s">
        <v>18</v>
      </c>
      <c r="L257" t="str">
        <f t="shared" si="6"/>
        <v>May</v>
      </c>
      <c r="M257" t="str">
        <f t="shared" si="7"/>
        <v>Friday</v>
      </c>
    </row>
    <row r="258" spans="1:13">
      <c r="A258" t="s">
        <v>465</v>
      </c>
      <c r="B258" t="s">
        <v>118</v>
      </c>
      <c r="C258" t="s">
        <v>36</v>
      </c>
      <c r="D258" t="s">
        <v>29</v>
      </c>
      <c r="E258">
        <v>1999</v>
      </c>
      <c r="F258">
        <v>2</v>
      </c>
      <c r="G258">
        <v>3998</v>
      </c>
      <c r="H258" t="s">
        <v>37</v>
      </c>
      <c r="I258" t="s">
        <v>77</v>
      </c>
      <c r="J258" t="s">
        <v>32</v>
      </c>
      <c r="K258" t="s">
        <v>18</v>
      </c>
      <c r="L258" t="str">
        <f t="shared" si="6"/>
        <v>May</v>
      </c>
      <c r="M258" t="str">
        <f t="shared" si="7"/>
        <v>Thursday</v>
      </c>
    </row>
    <row r="259" spans="1:13">
      <c r="A259" t="s">
        <v>466</v>
      </c>
      <c r="B259" t="s">
        <v>365</v>
      </c>
      <c r="C259" t="s">
        <v>76</v>
      </c>
      <c r="D259" t="s">
        <v>49</v>
      </c>
      <c r="E259">
        <v>1599</v>
      </c>
      <c r="F259">
        <v>3</v>
      </c>
      <c r="G259">
        <v>4797</v>
      </c>
      <c r="H259" t="s">
        <v>56</v>
      </c>
      <c r="I259" t="s">
        <v>67</v>
      </c>
      <c r="J259" t="s">
        <v>90</v>
      </c>
      <c r="K259" t="s">
        <v>45</v>
      </c>
      <c r="L259" t="str">
        <f t="shared" ref="L259:L322" si="8">TEXT(B259,"MMM")</f>
        <v>Jan</v>
      </c>
      <c r="M259" t="str">
        <f t="shared" ref="M259:M322" si="9">TEXT(B259,"dddd")</f>
        <v>Monday</v>
      </c>
    </row>
    <row r="260" spans="1:13">
      <c r="A260" t="s">
        <v>467</v>
      </c>
      <c r="B260" t="s">
        <v>145</v>
      </c>
      <c r="C260" t="s">
        <v>13</v>
      </c>
      <c r="D260" t="s">
        <v>14</v>
      </c>
      <c r="E260">
        <v>2499</v>
      </c>
      <c r="F260">
        <v>4</v>
      </c>
      <c r="G260">
        <v>9996</v>
      </c>
      <c r="H260" t="s">
        <v>30</v>
      </c>
      <c r="I260" t="s">
        <v>125</v>
      </c>
      <c r="J260" t="s">
        <v>32</v>
      </c>
      <c r="K260" t="s">
        <v>18</v>
      </c>
      <c r="L260" t="str">
        <f t="shared" si="8"/>
        <v>Mar</v>
      </c>
      <c r="M260" t="str">
        <f t="shared" si="9"/>
        <v>Thursday</v>
      </c>
    </row>
    <row r="261" spans="1:13">
      <c r="A261" t="s">
        <v>468</v>
      </c>
      <c r="B261" t="s">
        <v>20</v>
      </c>
      <c r="C261" t="s">
        <v>13</v>
      </c>
      <c r="D261" t="s">
        <v>14</v>
      </c>
      <c r="E261">
        <v>2499</v>
      </c>
      <c r="F261">
        <v>3</v>
      </c>
      <c r="G261">
        <v>7497</v>
      </c>
      <c r="H261" t="s">
        <v>37</v>
      </c>
      <c r="I261" t="s">
        <v>105</v>
      </c>
      <c r="J261" t="s">
        <v>32</v>
      </c>
      <c r="K261" t="s">
        <v>45</v>
      </c>
      <c r="L261" t="str">
        <f t="shared" si="8"/>
        <v>Jun</v>
      </c>
      <c r="M261" t="str">
        <f t="shared" si="9"/>
        <v>Friday</v>
      </c>
    </row>
    <row r="262" spans="1:13">
      <c r="A262" t="s">
        <v>469</v>
      </c>
      <c r="B262" t="s">
        <v>137</v>
      </c>
      <c r="C262" t="s">
        <v>60</v>
      </c>
      <c r="D262" t="s">
        <v>61</v>
      </c>
      <c r="E262">
        <v>899</v>
      </c>
      <c r="F262">
        <v>3</v>
      </c>
      <c r="G262">
        <v>2697</v>
      </c>
      <c r="H262" t="s">
        <v>89</v>
      </c>
      <c r="I262" t="s">
        <v>125</v>
      </c>
      <c r="J262" t="s">
        <v>90</v>
      </c>
      <c r="K262" t="s">
        <v>18</v>
      </c>
      <c r="L262" t="str">
        <f t="shared" si="8"/>
        <v>Mar</v>
      </c>
      <c r="M262" t="str">
        <f t="shared" si="9"/>
        <v>Monday</v>
      </c>
    </row>
    <row r="263" spans="1:13">
      <c r="A263" t="s">
        <v>470</v>
      </c>
      <c r="B263" t="s">
        <v>109</v>
      </c>
      <c r="C263" t="s">
        <v>60</v>
      </c>
      <c r="D263" t="s">
        <v>61</v>
      </c>
      <c r="E263">
        <v>899</v>
      </c>
      <c r="F263">
        <v>1</v>
      </c>
      <c r="G263">
        <v>899</v>
      </c>
      <c r="H263" t="s">
        <v>62</v>
      </c>
      <c r="I263" t="s">
        <v>31</v>
      </c>
      <c r="J263" t="s">
        <v>38</v>
      </c>
      <c r="K263" t="s">
        <v>18</v>
      </c>
      <c r="L263" t="str">
        <f t="shared" si="8"/>
        <v>May</v>
      </c>
      <c r="M263" t="str">
        <f t="shared" si="9"/>
        <v>Friday</v>
      </c>
    </row>
    <row r="264" spans="1:13">
      <c r="A264" t="s">
        <v>471</v>
      </c>
      <c r="B264" t="s">
        <v>472</v>
      </c>
      <c r="C264" t="s">
        <v>76</v>
      </c>
      <c r="D264" t="s">
        <v>49</v>
      </c>
      <c r="E264">
        <v>1599</v>
      </c>
      <c r="F264">
        <v>5</v>
      </c>
      <c r="G264">
        <v>7995</v>
      </c>
      <c r="H264" t="s">
        <v>95</v>
      </c>
      <c r="I264" t="s">
        <v>63</v>
      </c>
      <c r="J264" t="s">
        <v>32</v>
      </c>
      <c r="K264" t="s">
        <v>45</v>
      </c>
      <c r="L264" t="str">
        <f t="shared" si="8"/>
        <v>Jun</v>
      </c>
      <c r="M264" t="str">
        <f t="shared" si="9"/>
        <v>Thursday</v>
      </c>
    </row>
    <row r="265" spans="1:13">
      <c r="A265" t="s">
        <v>473</v>
      </c>
      <c r="B265" t="s">
        <v>474</v>
      </c>
      <c r="C265" t="s">
        <v>162</v>
      </c>
      <c r="D265" t="s">
        <v>29</v>
      </c>
      <c r="E265">
        <v>1799</v>
      </c>
      <c r="F265">
        <v>1</v>
      </c>
      <c r="G265">
        <v>1799</v>
      </c>
      <c r="H265" t="s">
        <v>157</v>
      </c>
      <c r="I265" t="s">
        <v>98</v>
      </c>
      <c r="J265" t="s">
        <v>90</v>
      </c>
      <c r="K265" t="s">
        <v>45</v>
      </c>
      <c r="L265" t="str">
        <f t="shared" si="8"/>
        <v>Apr</v>
      </c>
      <c r="M265" t="str">
        <f t="shared" si="9"/>
        <v>Thursday</v>
      </c>
    </row>
    <row r="266" spans="1:13">
      <c r="A266" t="s">
        <v>475</v>
      </c>
      <c r="B266" t="s">
        <v>434</v>
      </c>
      <c r="C266" t="s">
        <v>36</v>
      </c>
      <c r="D266" t="s">
        <v>29</v>
      </c>
      <c r="E266">
        <v>1999</v>
      </c>
      <c r="F266">
        <v>2</v>
      </c>
      <c r="G266">
        <v>3998</v>
      </c>
      <c r="H266" t="s">
        <v>23</v>
      </c>
      <c r="I266" t="s">
        <v>82</v>
      </c>
      <c r="J266" t="s">
        <v>17</v>
      </c>
      <c r="K266" t="s">
        <v>18</v>
      </c>
      <c r="L266" t="str">
        <f t="shared" si="8"/>
        <v>Mar</v>
      </c>
      <c r="M266" t="str">
        <f t="shared" si="9"/>
        <v>Friday</v>
      </c>
    </row>
    <row r="267" spans="1:13">
      <c r="A267" t="s">
        <v>476</v>
      </c>
      <c r="B267" t="s">
        <v>167</v>
      </c>
      <c r="C267" t="s">
        <v>52</v>
      </c>
      <c r="D267" t="s">
        <v>53</v>
      </c>
      <c r="E267">
        <v>199</v>
      </c>
      <c r="F267">
        <v>4</v>
      </c>
      <c r="G267">
        <v>796</v>
      </c>
      <c r="H267" t="s">
        <v>15</v>
      </c>
      <c r="I267" t="s">
        <v>57</v>
      </c>
      <c r="J267" t="s">
        <v>17</v>
      </c>
      <c r="K267" t="s">
        <v>18</v>
      </c>
      <c r="L267" t="str">
        <f t="shared" si="8"/>
        <v>Mar</v>
      </c>
      <c r="M267" t="str">
        <f t="shared" si="9"/>
        <v>Thursday</v>
      </c>
    </row>
    <row r="268" spans="1:13">
      <c r="A268" t="s">
        <v>477</v>
      </c>
      <c r="B268" t="s">
        <v>59</v>
      </c>
      <c r="C268" t="s">
        <v>28</v>
      </c>
      <c r="D268" t="s">
        <v>29</v>
      </c>
      <c r="E268">
        <v>1299</v>
      </c>
      <c r="F268">
        <v>4</v>
      </c>
      <c r="G268">
        <v>5196</v>
      </c>
      <c r="H268" t="s">
        <v>62</v>
      </c>
      <c r="I268" t="s">
        <v>105</v>
      </c>
      <c r="J268" t="s">
        <v>25</v>
      </c>
      <c r="K268" t="s">
        <v>18</v>
      </c>
      <c r="L268" t="str">
        <f t="shared" si="8"/>
        <v>Apr</v>
      </c>
      <c r="M268" t="str">
        <f t="shared" si="9"/>
        <v>Monday</v>
      </c>
    </row>
    <row r="269" spans="1:13">
      <c r="A269" t="s">
        <v>478</v>
      </c>
      <c r="B269" t="s">
        <v>40</v>
      </c>
      <c r="C269" t="s">
        <v>52</v>
      </c>
      <c r="D269" t="s">
        <v>53</v>
      </c>
      <c r="E269">
        <v>199</v>
      </c>
      <c r="F269">
        <v>5</v>
      </c>
      <c r="G269">
        <v>995</v>
      </c>
      <c r="H269" t="s">
        <v>37</v>
      </c>
      <c r="I269" t="s">
        <v>16</v>
      </c>
      <c r="J269" t="s">
        <v>25</v>
      </c>
      <c r="K269" t="s">
        <v>18</v>
      </c>
      <c r="L269" t="str">
        <f t="shared" si="8"/>
        <v>Mar</v>
      </c>
      <c r="M269" t="str">
        <f t="shared" si="9"/>
        <v>Friday</v>
      </c>
    </row>
    <row r="270" spans="1:13">
      <c r="A270" t="s">
        <v>479</v>
      </c>
      <c r="B270" t="s">
        <v>215</v>
      </c>
      <c r="C270" t="s">
        <v>80</v>
      </c>
      <c r="D270" t="s">
        <v>81</v>
      </c>
      <c r="E270">
        <v>299</v>
      </c>
      <c r="F270">
        <v>3</v>
      </c>
      <c r="G270">
        <v>897</v>
      </c>
      <c r="H270" t="s">
        <v>23</v>
      </c>
      <c r="I270" t="s">
        <v>57</v>
      </c>
      <c r="J270" t="s">
        <v>32</v>
      </c>
      <c r="K270" t="s">
        <v>18</v>
      </c>
      <c r="L270" t="str">
        <f t="shared" si="8"/>
        <v>Jan</v>
      </c>
      <c r="M270" t="str">
        <f t="shared" si="9"/>
        <v>Saturday</v>
      </c>
    </row>
    <row r="271" spans="1:13">
      <c r="A271" t="s">
        <v>480</v>
      </c>
      <c r="B271" t="s">
        <v>241</v>
      </c>
      <c r="C271" t="s">
        <v>60</v>
      </c>
      <c r="D271" t="s">
        <v>61</v>
      </c>
      <c r="E271">
        <v>899</v>
      </c>
      <c r="F271">
        <v>1</v>
      </c>
      <c r="G271">
        <v>899</v>
      </c>
      <c r="H271" t="s">
        <v>37</v>
      </c>
      <c r="I271" t="s">
        <v>77</v>
      </c>
      <c r="J271" t="s">
        <v>25</v>
      </c>
      <c r="K271" t="s">
        <v>33</v>
      </c>
      <c r="L271" t="str">
        <f t="shared" si="8"/>
        <v>Jan</v>
      </c>
      <c r="M271" t="str">
        <f t="shared" si="9"/>
        <v>Tuesday</v>
      </c>
    </row>
    <row r="272" spans="1:13">
      <c r="A272" t="s">
        <v>481</v>
      </c>
      <c r="B272" t="s">
        <v>109</v>
      </c>
      <c r="C272" t="s">
        <v>48</v>
      </c>
      <c r="D272" t="s">
        <v>49</v>
      </c>
      <c r="E272">
        <v>699</v>
      </c>
      <c r="F272">
        <v>5</v>
      </c>
      <c r="G272">
        <v>3495</v>
      </c>
      <c r="H272" t="s">
        <v>66</v>
      </c>
      <c r="I272" t="s">
        <v>67</v>
      </c>
      <c r="J272" t="s">
        <v>38</v>
      </c>
      <c r="K272" t="s">
        <v>18</v>
      </c>
      <c r="L272" t="str">
        <f t="shared" si="8"/>
        <v>May</v>
      </c>
      <c r="M272" t="str">
        <f t="shared" si="9"/>
        <v>Friday</v>
      </c>
    </row>
    <row r="273" spans="1:13">
      <c r="A273" t="s">
        <v>482</v>
      </c>
      <c r="B273" t="s">
        <v>272</v>
      </c>
      <c r="C273" t="s">
        <v>80</v>
      </c>
      <c r="D273" t="s">
        <v>81</v>
      </c>
      <c r="E273">
        <v>299</v>
      </c>
      <c r="F273">
        <v>3</v>
      </c>
      <c r="G273">
        <v>897</v>
      </c>
      <c r="H273" t="s">
        <v>37</v>
      </c>
      <c r="I273" t="s">
        <v>77</v>
      </c>
      <c r="J273" t="s">
        <v>38</v>
      </c>
      <c r="K273" t="s">
        <v>45</v>
      </c>
      <c r="L273" t="str">
        <f t="shared" si="8"/>
        <v>Feb</v>
      </c>
      <c r="M273" t="str">
        <f t="shared" si="9"/>
        <v>Monday</v>
      </c>
    </row>
    <row r="274" spans="1:13">
      <c r="A274" t="s">
        <v>483</v>
      </c>
      <c r="B274" t="s">
        <v>356</v>
      </c>
      <c r="C274" t="s">
        <v>135</v>
      </c>
      <c r="D274" t="s">
        <v>29</v>
      </c>
      <c r="E274">
        <v>3999</v>
      </c>
      <c r="F274">
        <v>1</v>
      </c>
      <c r="G274">
        <v>3999</v>
      </c>
      <c r="H274" t="s">
        <v>186</v>
      </c>
      <c r="I274" t="s">
        <v>57</v>
      </c>
      <c r="J274" t="s">
        <v>25</v>
      </c>
      <c r="K274" t="s">
        <v>45</v>
      </c>
      <c r="L274" t="str">
        <f t="shared" si="8"/>
        <v>Feb</v>
      </c>
      <c r="M274" t="str">
        <f t="shared" si="9"/>
        <v>Wednesday</v>
      </c>
    </row>
    <row r="275" spans="1:13">
      <c r="A275" t="s">
        <v>484</v>
      </c>
      <c r="B275" t="s">
        <v>485</v>
      </c>
      <c r="C275" t="s">
        <v>76</v>
      </c>
      <c r="D275" t="s">
        <v>49</v>
      </c>
      <c r="E275">
        <v>1599</v>
      </c>
      <c r="F275">
        <v>5</v>
      </c>
      <c r="G275">
        <v>7995</v>
      </c>
      <c r="H275" t="s">
        <v>71</v>
      </c>
      <c r="I275" t="s">
        <v>57</v>
      </c>
      <c r="J275" t="s">
        <v>25</v>
      </c>
      <c r="K275" t="s">
        <v>33</v>
      </c>
      <c r="L275" t="str">
        <f t="shared" si="8"/>
        <v>Jan</v>
      </c>
      <c r="M275" t="str">
        <f t="shared" si="9"/>
        <v>Sunday</v>
      </c>
    </row>
    <row r="276" spans="1:13">
      <c r="A276" t="s">
        <v>486</v>
      </c>
      <c r="B276" t="s">
        <v>487</v>
      </c>
      <c r="C276" t="s">
        <v>76</v>
      </c>
      <c r="D276" t="s">
        <v>49</v>
      </c>
      <c r="E276">
        <v>1599</v>
      </c>
      <c r="F276">
        <v>4</v>
      </c>
      <c r="G276">
        <v>6396</v>
      </c>
      <c r="H276" t="s">
        <v>89</v>
      </c>
      <c r="I276" t="s">
        <v>57</v>
      </c>
      <c r="J276" t="s">
        <v>38</v>
      </c>
      <c r="K276" t="s">
        <v>33</v>
      </c>
      <c r="L276" t="str">
        <f t="shared" si="8"/>
        <v>Apr</v>
      </c>
      <c r="M276" t="str">
        <f t="shared" si="9"/>
        <v>Monday</v>
      </c>
    </row>
    <row r="277" spans="1:13">
      <c r="A277" t="s">
        <v>488</v>
      </c>
      <c r="B277" t="s">
        <v>97</v>
      </c>
      <c r="C277" t="s">
        <v>162</v>
      </c>
      <c r="D277" t="s">
        <v>29</v>
      </c>
      <c r="E277">
        <v>1799</v>
      </c>
      <c r="F277">
        <v>5</v>
      </c>
      <c r="G277">
        <v>8995</v>
      </c>
      <c r="H277" t="s">
        <v>95</v>
      </c>
      <c r="I277" t="s">
        <v>105</v>
      </c>
      <c r="J277" t="s">
        <v>90</v>
      </c>
      <c r="K277" t="s">
        <v>45</v>
      </c>
      <c r="L277" t="str">
        <f t="shared" si="8"/>
        <v>Mar</v>
      </c>
      <c r="M277" t="str">
        <f t="shared" si="9"/>
        <v>Sunday</v>
      </c>
    </row>
    <row r="278" spans="1:13">
      <c r="A278" t="s">
        <v>489</v>
      </c>
      <c r="B278" t="s">
        <v>20</v>
      </c>
      <c r="C278" t="s">
        <v>36</v>
      </c>
      <c r="D278" t="s">
        <v>29</v>
      </c>
      <c r="E278">
        <v>1999</v>
      </c>
      <c r="F278">
        <v>1</v>
      </c>
      <c r="G278">
        <v>1999</v>
      </c>
      <c r="H278" t="s">
        <v>37</v>
      </c>
      <c r="I278" t="s">
        <v>105</v>
      </c>
      <c r="J278" t="s">
        <v>38</v>
      </c>
      <c r="K278" t="s">
        <v>18</v>
      </c>
      <c r="L278" t="str">
        <f t="shared" si="8"/>
        <v>Jun</v>
      </c>
      <c r="M278" t="str">
        <f t="shared" si="9"/>
        <v>Friday</v>
      </c>
    </row>
    <row r="279" spans="1:13">
      <c r="A279" t="s">
        <v>490</v>
      </c>
      <c r="B279" t="s">
        <v>175</v>
      </c>
      <c r="C279" t="s">
        <v>28</v>
      </c>
      <c r="D279" t="s">
        <v>29</v>
      </c>
      <c r="E279">
        <v>1299</v>
      </c>
      <c r="F279">
        <v>2</v>
      </c>
      <c r="G279">
        <v>2598</v>
      </c>
      <c r="H279" t="s">
        <v>186</v>
      </c>
      <c r="I279" t="s">
        <v>105</v>
      </c>
      <c r="J279" t="s">
        <v>38</v>
      </c>
      <c r="K279" t="s">
        <v>18</v>
      </c>
      <c r="L279" t="str">
        <f t="shared" si="8"/>
        <v>May</v>
      </c>
      <c r="M279" t="str">
        <f t="shared" si="9"/>
        <v>Thursday</v>
      </c>
    </row>
    <row r="280" spans="1:13">
      <c r="A280" t="s">
        <v>491</v>
      </c>
      <c r="B280" t="s">
        <v>347</v>
      </c>
      <c r="C280" t="s">
        <v>52</v>
      </c>
      <c r="D280" t="s">
        <v>53</v>
      </c>
      <c r="E280">
        <v>199</v>
      </c>
      <c r="F280">
        <v>2</v>
      </c>
      <c r="G280">
        <v>398</v>
      </c>
      <c r="H280" t="s">
        <v>71</v>
      </c>
      <c r="I280" t="s">
        <v>31</v>
      </c>
      <c r="J280" t="s">
        <v>32</v>
      </c>
      <c r="K280" t="s">
        <v>45</v>
      </c>
      <c r="L280" t="str">
        <f t="shared" si="8"/>
        <v>Feb</v>
      </c>
      <c r="M280" t="str">
        <f t="shared" si="9"/>
        <v>Friday</v>
      </c>
    </row>
    <row r="281" spans="1:13">
      <c r="A281" t="s">
        <v>492</v>
      </c>
      <c r="B281" t="s">
        <v>415</v>
      </c>
      <c r="C281" t="s">
        <v>48</v>
      </c>
      <c r="D281" t="s">
        <v>49</v>
      </c>
      <c r="E281">
        <v>699</v>
      </c>
      <c r="F281">
        <v>2</v>
      </c>
      <c r="G281">
        <v>1398</v>
      </c>
      <c r="H281" t="s">
        <v>71</v>
      </c>
      <c r="I281" t="s">
        <v>125</v>
      </c>
      <c r="J281" t="s">
        <v>25</v>
      </c>
      <c r="K281" t="s">
        <v>18</v>
      </c>
      <c r="L281" t="str">
        <f t="shared" si="8"/>
        <v>May</v>
      </c>
      <c r="M281" t="str">
        <f t="shared" si="9"/>
        <v>Tuesday</v>
      </c>
    </row>
    <row r="282" spans="1:13">
      <c r="A282" t="s">
        <v>493</v>
      </c>
      <c r="B282" t="s">
        <v>494</v>
      </c>
      <c r="C282" t="s">
        <v>162</v>
      </c>
      <c r="D282" t="s">
        <v>29</v>
      </c>
      <c r="E282">
        <v>1799</v>
      </c>
      <c r="F282">
        <v>5</v>
      </c>
      <c r="G282">
        <v>8995</v>
      </c>
      <c r="H282" t="s">
        <v>89</v>
      </c>
      <c r="I282" t="s">
        <v>24</v>
      </c>
      <c r="J282" t="s">
        <v>17</v>
      </c>
      <c r="K282" t="s">
        <v>18</v>
      </c>
      <c r="L282" t="str">
        <f t="shared" si="8"/>
        <v>Mar</v>
      </c>
      <c r="M282" t="str">
        <f t="shared" si="9"/>
        <v>Sunday</v>
      </c>
    </row>
    <row r="283" spans="1:13">
      <c r="A283" t="s">
        <v>495</v>
      </c>
      <c r="B283" t="s">
        <v>335</v>
      </c>
      <c r="C283" t="s">
        <v>28</v>
      </c>
      <c r="D283" t="s">
        <v>29</v>
      </c>
      <c r="E283">
        <v>1299</v>
      </c>
      <c r="F283">
        <v>1</v>
      </c>
      <c r="G283">
        <v>1299</v>
      </c>
      <c r="H283" t="s">
        <v>43</v>
      </c>
      <c r="I283" t="s">
        <v>24</v>
      </c>
      <c r="J283" t="s">
        <v>17</v>
      </c>
      <c r="K283" t="s">
        <v>18</v>
      </c>
      <c r="L283" t="str">
        <f t="shared" si="8"/>
        <v>Feb</v>
      </c>
      <c r="M283" t="str">
        <f t="shared" si="9"/>
        <v>Thursday</v>
      </c>
    </row>
    <row r="284" spans="1:13">
      <c r="A284" t="s">
        <v>496</v>
      </c>
      <c r="B284" t="s">
        <v>255</v>
      </c>
      <c r="C284" t="s">
        <v>162</v>
      </c>
      <c r="D284" t="s">
        <v>29</v>
      </c>
      <c r="E284">
        <v>1799</v>
      </c>
      <c r="F284">
        <v>2</v>
      </c>
      <c r="G284">
        <v>3598</v>
      </c>
      <c r="H284" t="s">
        <v>15</v>
      </c>
      <c r="I284" t="s">
        <v>44</v>
      </c>
      <c r="J284" t="s">
        <v>32</v>
      </c>
      <c r="K284" t="s">
        <v>33</v>
      </c>
      <c r="L284" t="str">
        <f t="shared" si="8"/>
        <v>Mar</v>
      </c>
      <c r="M284" t="str">
        <f t="shared" si="9"/>
        <v>Thursday</v>
      </c>
    </row>
    <row r="285" spans="1:13">
      <c r="A285" t="s">
        <v>497</v>
      </c>
      <c r="B285" t="s">
        <v>55</v>
      </c>
      <c r="C285" t="s">
        <v>28</v>
      </c>
      <c r="D285" t="s">
        <v>29</v>
      </c>
      <c r="E285">
        <v>1299</v>
      </c>
      <c r="F285">
        <v>1</v>
      </c>
      <c r="G285">
        <v>1299</v>
      </c>
      <c r="H285" t="s">
        <v>37</v>
      </c>
      <c r="I285" t="s">
        <v>67</v>
      </c>
      <c r="J285" t="s">
        <v>32</v>
      </c>
      <c r="K285" t="s">
        <v>18</v>
      </c>
      <c r="L285" t="str">
        <f t="shared" si="8"/>
        <v>Mar</v>
      </c>
      <c r="M285" t="str">
        <f t="shared" si="9"/>
        <v>Sunday</v>
      </c>
    </row>
    <row r="286" spans="1:13">
      <c r="A286" t="s">
        <v>498</v>
      </c>
      <c r="B286" t="s">
        <v>143</v>
      </c>
      <c r="C286" t="s">
        <v>36</v>
      </c>
      <c r="D286" t="s">
        <v>29</v>
      </c>
      <c r="E286">
        <v>1999</v>
      </c>
      <c r="F286">
        <v>5</v>
      </c>
      <c r="G286">
        <v>9995</v>
      </c>
      <c r="H286" t="s">
        <v>71</v>
      </c>
      <c r="I286" t="s">
        <v>105</v>
      </c>
      <c r="J286" t="s">
        <v>38</v>
      </c>
      <c r="K286" t="s">
        <v>18</v>
      </c>
      <c r="L286" t="str">
        <f t="shared" si="8"/>
        <v>Mar</v>
      </c>
      <c r="M286" t="str">
        <f t="shared" si="9"/>
        <v>Tuesday</v>
      </c>
    </row>
    <row r="287" spans="1:13">
      <c r="A287" t="s">
        <v>499</v>
      </c>
      <c r="B287" t="s">
        <v>269</v>
      </c>
      <c r="C287" t="s">
        <v>60</v>
      </c>
      <c r="D287" t="s">
        <v>61</v>
      </c>
      <c r="E287">
        <v>899</v>
      </c>
      <c r="F287">
        <v>5</v>
      </c>
      <c r="G287">
        <v>4495</v>
      </c>
      <c r="H287" t="s">
        <v>23</v>
      </c>
      <c r="I287" t="s">
        <v>24</v>
      </c>
      <c r="J287" t="s">
        <v>32</v>
      </c>
      <c r="K287" t="s">
        <v>18</v>
      </c>
      <c r="L287" t="str">
        <f t="shared" si="8"/>
        <v>Jan</v>
      </c>
      <c r="M287" t="str">
        <f t="shared" si="9"/>
        <v>Saturday</v>
      </c>
    </row>
    <row r="288" spans="1:13">
      <c r="A288" t="s">
        <v>500</v>
      </c>
      <c r="B288" t="s">
        <v>116</v>
      </c>
      <c r="C288" t="s">
        <v>60</v>
      </c>
      <c r="D288" t="s">
        <v>61</v>
      </c>
      <c r="E288">
        <v>899</v>
      </c>
      <c r="F288">
        <v>1</v>
      </c>
      <c r="G288">
        <v>899</v>
      </c>
      <c r="H288" t="s">
        <v>71</v>
      </c>
      <c r="I288" t="s">
        <v>77</v>
      </c>
      <c r="J288" t="s">
        <v>38</v>
      </c>
      <c r="K288" t="s">
        <v>18</v>
      </c>
      <c r="L288" t="str">
        <f t="shared" si="8"/>
        <v>Jan</v>
      </c>
      <c r="M288" t="str">
        <f t="shared" si="9"/>
        <v>Sunday</v>
      </c>
    </row>
    <row r="289" spans="1:13">
      <c r="A289" t="s">
        <v>501</v>
      </c>
      <c r="B289" t="s">
        <v>502</v>
      </c>
      <c r="C289" t="s">
        <v>101</v>
      </c>
      <c r="D289" t="s">
        <v>81</v>
      </c>
      <c r="E289">
        <v>499</v>
      </c>
      <c r="F289">
        <v>3</v>
      </c>
      <c r="G289">
        <v>1497</v>
      </c>
      <c r="H289" t="s">
        <v>71</v>
      </c>
      <c r="I289" t="s">
        <v>98</v>
      </c>
      <c r="J289" t="s">
        <v>38</v>
      </c>
      <c r="K289" t="s">
        <v>18</v>
      </c>
      <c r="L289" t="str">
        <f t="shared" si="8"/>
        <v>Feb</v>
      </c>
      <c r="M289" t="str">
        <f t="shared" si="9"/>
        <v>Sunday</v>
      </c>
    </row>
    <row r="290" spans="1:13">
      <c r="A290" t="s">
        <v>503</v>
      </c>
      <c r="B290" t="s">
        <v>338</v>
      </c>
      <c r="C290" t="s">
        <v>135</v>
      </c>
      <c r="D290" t="s">
        <v>29</v>
      </c>
      <c r="E290">
        <v>3999</v>
      </c>
      <c r="F290">
        <v>4</v>
      </c>
      <c r="G290">
        <v>15996</v>
      </c>
      <c r="H290" t="s">
        <v>43</v>
      </c>
      <c r="I290" t="s">
        <v>82</v>
      </c>
      <c r="J290" t="s">
        <v>25</v>
      </c>
      <c r="K290" t="s">
        <v>18</v>
      </c>
      <c r="L290" t="str">
        <f t="shared" si="8"/>
        <v>Mar</v>
      </c>
      <c r="M290" t="str">
        <f t="shared" si="9"/>
        <v>Saturday</v>
      </c>
    </row>
    <row r="291" spans="1:13">
      <c r="A291" t="s">
        <v>504</v>
      </c>
      <c r="B291" t="s">
        <v>450</v>
      </c>
      <c r="C291" t="s">
        <v>60</v>
      </c>
      <c r="D291" t="s">
        <v>61</v>
      </c>
      <c r="E291">
        <v>899</v>
      </c>
      <c r="F291">
        <v>2</v>
      </c>
      <c r="G291">
        <v>1798</v>
      </c>
      <c r="H291" t="s">
        <v>71</v>
      </c>
      <c r="I291" t="s">
        <v>67</v>
      </c>
      <c r="J291" t="s">
        <v>25</v>
      </c>
      <c r="K291" t="s">
        <v>18</v>
      </c>
      <c r="L291" t="str">
        <f t="shared" si="8"/>
        <v>Jan</v>
      </c>
      <c r="M291" t="str">
        <f t="shared" si="9"/>
        <v>Saturday</v>
      </c>
    </row>
    <row r="292" spans="1:13">
      <c r="A292" t="s">
        <v>505</v>
      </c>
      <c r="B292" t="s">
        <v>35</v>
      </c>
      <c r="C292" t="s">
        <v>101</v>
      </c>
      <c r="D292" t="s">
        <v>81</v>
      </c>
      <c r="E292">
        <v>499</v>
      </c>
      <c r="F292">
        <v>2</v>
      </c>
      <c r="G292">
        <v>998</v>
      </c>
      <c r="H292" t="s">
        <v>15</v>
      </c>
      <c r="I292" t="s">
        <v>105</v>
      </c>
      <c r="J292" t="s">
        <v>25</v>
      </c>
      <c r="K292" t="s">
        <v>33</v>
      </c>
      <c r="L292" t="str">
        <f t="shared" si="8"/>
        <v>Apr</v>
      </c>
      <c r="M292" t="str">
        <f t="shared" si="9"/>
        <v>Saturday</v>
      </c>
    </row>
    <row r="293" spans="1:13">
      <c r="A293" t="s">
        <v>506</v>
      </c>
      <c r="B293" t="s">
        <v>329</v>
      </c>
      <c r="C293" t="s">
        <v>13</v>
      </c>
      <c r="D293" t="s">
        <v>14</v>
      </c>
      <c r="E293">
        <v>2499</v>
      </c>
      <c r="F293">
        <v>3</v>
      </c>
      <c r="G293">
        <v>7497</v>
      </c>
      <c r="H293" t="s">
        <v>102</v>
      </c>
      <c r="I293" t="s">
        <v>82</v>
      </c>
      <c r="J293" t="s">
        <v>32</v>
      </c>
      <c r="K293" t="s">
        <v>18</v>
      </c>
      <c r="L293" t="str">
        <f t="shared" si="8"/>
        <v>May</v>
      </c>
      <c r="M293" t="str">
        <f t="shared" si="9"/>
        <v>Sunday</v>
      </c>
    </row>
    <row r="294" spans="1:13">
      <c r="A294" t="s">
        <v>507</v>
      </c>
      <c r="B294" t="s">
        <v>508</v>
      </c>
      <c r="C294" t="s">
        <v>60</v>
      </c>
      <c r="D294" t="s">
        <v>61</v>
      </c>
      <c r="E294">
        <v>899</v>
      </c>
      <c r="F294">
        <v>2</v>
      </c>
      <c r="G294">
        <v>1798</v>
      </c>
      <c r="H294" t="s">
        <v>157</v>
      </c>
      <c r="I294" t="s">
        <v>44</v>
      </c>
      <c r="J294" t="s">
        <v>90</v>
      </c>
      <c r="K294" t="s">
        <v>45</v>
      </c>
      <c r="L294" t="str">
        <f t="shared" si="8"/>
        <v>May</v>
      </c>
      <c r="M294" t="str">
        <f t="shared" si="9"/>
        <v>Thursday</v>
      </c>
    </row>
    <row r="295" spans="1:13">
      <c r="A295" t="s">
        <v>509</v>
      </c>
      <c r="B295" t="s">
        <v>510</v>
      </c>
      <c r="C295" t="s">
        <v>76</v>
      </c>
      <c r="D295" t="s">
        <v>49</v>
      </c>
      <c r="E295">
        <v>1599</v>
      </c>
      <c r="F295">
        <v>5</v>
      </c>
      <c r="G295">
        <v>7995</v>
      </c>
      <c r="H295" t="s">
        <v>157</v>
      </c>
      <c r="I295" t="s">
        <v>82</v>
      </c>
      <c r="J295" t="s">
        <v>38</v>
      </c>
      <c r="K295" t="s">
        <v>18</v>
      </c>
      <c r="L295" t="str">
        <f t="shared" si="8"/>
        <v>Jan</v>
      </c>
      <c r="M295" t="str">
        <f t="shared" si="9"/>
        <v>Monday</v>
      </c>
    </row>
    <row r="296" spans="1:13">
      <c r="A296" t="s">
        <v>511</v>
      </c>
      <c r="B296" t="s">
        <v>512</v>
      </c>
      <c r="C296" t="s">
        <v>48</v>
      </c>
      <c r="D296" t="s">
        <v>49</v>
      </c>
      <c r="E296">
        <v>699</v>
      </c>
      <c r="F296">
        <v>4</v>
      </c>
      <c r="G296">
        <v>2796</v>
      </c>
      <c r="H296" t="s">
        <v>119</v>
      </c>
      <c r="I296" t="s">
        <v>77</v>
      </c>
      <c r="J296" t="s">
        <v>32</v>
      </c>
      <c r="K296" t="s">
        <v>18</v>
      </c>
      <c r="L296" t="str">
        <f t="shared" si="8"/>
        <v>Mar</v>
      </c>
      <c r="M296" t="str">
        <f t="shared" si="9"/>
        <v>Wednesday</v>
      </c>
    </row>
    <row r="297" spans="1:13">
      <c r="A297" t="s">
        <v>513</v>
      </c>
      <c r="B297" t="s">
        <v>474</v>
      </c>
      <c r="C297" t="s">
        <v>80</v>
      </c>
      <c r="D297" t="s">
        <v>81</v>
      </c>
      <c r="E297">
        <v>299</v>
      </c>
      <c r="F297">
        <v>5</v>
      </c>
      <c r="G297">
        <v>1495</v>
      </c>
      <c r="H297" t="s">
        <v>157</v>
      </c>
      <c r="I297" t="s">
        <v>31</v>
      </c>
      <c r="J297" t="s">
        <v>90</v>
      </c>
      <c r="K297" t="s">
        <v>45</v>
      </c>
      <c r="L297" t="str">
        <f t="shared" si="8"/>
        <v>Apr</v>
      </c>
      <c r="M297" t="str">
        <f t="shared" si="9"/>
        <v>Thursday</v>
      </c>
    </row>
    <row r="298" spans="1:13">
      <c r="A298" t="s">
        <v>514</v>
      </c>
      <c r="B298" t="s">
        <v>177</v>
      </c>
      <c r="C298" t="s">
        <v>87</v>
      </c>
      <c r="D298" t="s">
        <v>88</v>
      </c>
      <c r="E298">
        <v>5499</v>
      </c>
      <c r="F298">
        <v>4</v>
      </c>
      <c r="G298">
        <v>21996</v>
      </c>
      <c r="H298" t="s">
        <v>43</v>
      </c>
      <c r="I298" t="s">
        <v>31</v>
      </c>
      <c r="J298" t="s">
        <v>32</v>
      </c>
      <c r="K298" t="s">
        <v>33</v>
      </c>
      <c r="L298" t="str">
        <f t="shared" si="8"/>
        <v>Jan</v>
      </c>
      <c r="M298" t="str">
        <f t="shared" si="9"/>
        <v>Saturday</v>
      </c>
    </row>
    <row r="299" spans="1:13">
      <c r="A299" t="s">
        <v>515</v>
      </c>
      <c r="B299" t="s">
        <v>459</v>
      </c>
      <c r="C299" t="s">
        <v>162</v>
      </c>
      <c r="D299" t="s">
        <v>29</v>
      </c>
      <c r="E299">
        <v>1799</v>
      </c>
      <c r="F299">
        <v>4</v>
      </c>
      <c r="G299">
        <v>7196</v>
      </c>
      <c r="H299" t="s">
        <v>56</v>
      </c>
      <c r="I299" t="s">
        <v>16</v>
      </c>
      <c r="J299" t="s">
        <v>90</v>
      </c>
      <c r="K299" t="s">
        <v>18</v>
      </c>
      <c r="L299" t="str">
        <f t="shared" si="8"/>
        <v>Apr</v>
      </c>
      <c r="M299" t="str">
        <f t="shared" si="9"/>
        <v>Tuesday</v>
      </c>
    </row>
    <row r="300" spans="1:13">
      <c r="A300" t="s">
        <v>516</v>
      </c>
      <c r="B300" t="s">
        <v>517</v>
      </c>
      <c r="C300" t="s">
        <v>101</v>
      </c>
      <c r="D300" t="s">
        <v>81</v>
      </c>
      <c r="E300">
        <v>499</v>
      </c>
      <c r="F300">
        <v>1</v>
      </c>
      <c r="G300">
        <v>499</v>
      </c>
      <c r="H300" t="s">
        <v>186</v>
      </c>
      <c r="I300" t="s">
        <v>44</v>
      </c>
      <c r="J300" t="s">
        <v>38</v>
      </c>
      <c r="K300" t="s">
        <v>33</v>
      </c>
      <c r="L300" t="str">
        <f t="shared" si="8"/>
        <v>Mar</v>
      </c>
      <c r="M300" t="str">
        <f t="shared" si="9"/>
        <v>Sunday</v>
      </c>
    </row>
    <row r="301" spans="1:13">
      <c r="A301" t="s">
        <v>518</v>
      </c>
      <c r="B301" t="s">
        <v>389</v>
      </c>
      <c r="C301" t="s">
        <v>13</v>
      </c>
      <c r="D301" t="s">
        <v>14</v>
      </c>
      <c r="E301">
        <v>2499</v>
      </c>
      <c r="F301">
        <v>3</v>
      </c>
      <c r="G301">
        <v>7497</v>
      </c>
      <c r="H301" t="s">
        <v>43</v>
      </c>
      <c r="I301" t="s">
        <v>98</v>
      </c>
      <c r="J301" t="s">
        <v>25</v>
      </c>
      <c r="K301" t="s">
        <v>45</v>
      </c>
      <c r="L301" t="str">
        <f t="shared" si="8"/>
        <v>Jun</v>
      </c>
      <c r="M301" t="str">
        <f t="shared" si="9"/>
        <v>Tuesday</v>
      </c>
    </row>
    <row r="302" spans="1:13">
      <c r="A302" t="s">
        <v>519</v>
      </c>
      <c r="B302" t="s">
        <v>387</v>
      </c>
      <c r="C302" t="s">
        <v>135</v>
      </c>
      <c r="D302" t="s">
        <v>29</v>
      </c>
      <c r="E302">
        <v>3999</v>
      </c>
      <c r="F302">
        <v>2</v>
      </c>
      <c r="G302">
        <v>7998</v>
      </c>
      <c r="H302" t="s">
        <v>43</v>
      </c>
      <c r="I302" t="s">
        <v>67</v>
      </c>
      <c r="J302" t="s">
        <v>25</v>
      </c>
      <c r="K302" t="s">
        <v>45</v>
      </c>
      <c r="L302" t="str">
        <f t="shared" si="8"/>
        <v>Jun</v>
      </c>
      <c r="M302" t="str">
        <f t="shared" si="9"/>
        <v>Sunday</v>
      </c>
    </row>
    <row r="303" spans="1:13">
      <c r="A303" t="s">
        <v>520</v>
      </c>
      <c r="B303" t="s">
        <v>156</v>
      </c>
      <c r="C303" t="s">
        <v>13</v>
      </c>
      <c r="D303" t="s">
        <v>14</v>
      </c>
      <c r="E303">
        <v>2499</v>
      </c>
      <c r="F303">
        <v>5</v>
      </c>
      <c r="G303">
        <v>12495</v>
      </c>
      <c r="H303" t="s">
        <v>157</v>
      </c>
      <c r="I303" t="s">
        <v>57</v>
      </c>
      <c r="J303" t="s">
        <v>25</v>
      </c>
      <c r="K303" t="s">
        <v>45</v>
      </c>
      <c r="L303" t="str">
        <f t="shared" si="8"/>
        <v>Mar</v>
      </c>
      <c r="M303" t="str">
        <f t="shared" si="9"/>
        <v>Tuesday</v>
      </c>
    </row>
    <row r="304" spans="1:13">
      <c r="A304" t="s">
        <v>521</v>
      </c>
      <c r="B304" t="s">
        <v>276</v>
      </c>
      <c r="C304" t="s">
        <v>48</v>
      </c>
      <c r="D304" t="s">
        <v>49</v>
      </c>
      <c r="E304">
        <v>699</v>
      </c>
      <c r="F304">
        <v>1</v>
      </c>
      <c r="G304">
        <v>699</v>
      </c>
      <c r="H304" t="s">
        <v>89</v>
      </c>
      <c r="I304" t="s">
        <v>82</v>
      </c>
      <c r="J304" t="s">
        <v>38</v>
      </c>
      <c r="K304" t="s">
        <v>18</v>
      </c>
      <c r="L304" t="str">
        <f t="shared" si="8"/>
        <v>Feb</v>
      </c>
      <c r="M304" t="str">
        <f t="shared" si="9"/>
        <v>Saturday</v>
      </c>
    </row>
    <row r="305" spans="1:13">
      <c r="A305" t="s">
        <v>522</v>
      </c>
      <c r="B305" t="s">
        <v>210</v>
      </c>
      <c r="C305" t="s">
        <v>60</v>
      </c>
      <c r="D305" t="s">
        <v>61</v>
      </c>
      <c r="E305">
        <v>899</v>
      </c>
      <c r="F305">
        <v>1</v>
      </c>
      <c r="G305">
        <v>899</v>
      </c>
      <c r="H305" t="s">
        <v>43</v>
      </c>
      <c r="I305" t="s">
        <v>98</v>
      </c>
      <c r="J305" t="s">
        <v>38</v>
      </c>
      <c r="K305" t="s">
        <v>18</v>
      </c>
      <c r="L305" t="str">
        <f t="shared" si="8"/>
        <v>Apr</v>
      </c>
      <c r="M305" t="str">
        <f t="shared" si="9"/>
        <v>Wednesday</v>
      </c>
    </row>
    <row r="306" spans="1:13">
      <c r="A306" t="s">
        <v>523</v>
      </c>
      <c r="B306" t="s">
        <v>169</v>
      </c>
      <c r="C306" t="s">
        <v>48</v>
      </c>
      <c r="D306" t="s">
        <v>49</v>
      </c>
      <c r="E306">
        <v>699</v>
      </c>
      <c r="F306">
        <v>3</v>
      </c>
      <c r="G306">
        <v>2097</v>
      </c>
      <c r="H306" t="s">
        <v>66</v>
      </c>
      <c r="I306" t="s">
        <v>16</v>
      </c>
      <c r="J306" t="s">
        <v>32</v>
      </c>
      <c r="K306" t="s">
        <v>18</v>
      </c>
      <c r="L306" t="str">
        <f t="shared" si="8"/>
        <v>Jan</v>
      </c>
      <c r="M306" t="str">
        <f t="shared" si="9"/>
        <v>Tuesday</v>
      </c>
    </row>
    <row r="307" spans="1:13">
      <c r="A307" t="s">
        <v>524</v>
      </c>
      <c r="B307" t="s">
        <v>472</v>
      </c>
      <c r="C307" t="s">
        <v>28</v>
      </c>
      <c r="D307" t="s">
        <v>29</v>
      </c>
      <c r="E307">
        <v>1299</v>
      </c>
      <c r="F307">
        <v>2</v>
      </c>
      <c r="G307">
        <v>2598</v>
      </c>
      <c r="H307" t="s">
        <v>56</v>
      </c>
      <c r="I307" t="s">
        <v>105</v>
      </c>
      <c r="J307" t="s">
        <v>32</v>
      </c>
      <c r="K307" t="s">
        <v>18</v>
      </c>
      <c r="L307" t="str">
        <f t="shared" si="8"/>
        <v>Jun</v>
      </c>
      <c r="M307" t="str">
        <f t="shared" si="9"/>
        <v>Thursday</v>
      </c>
    </row>
    <row r="308" spans="1:13">
      <c r="A308" t="s">
        <v>525</v>
      </c>
      <c r="B308" t="s">
        <v>210</v>
      </c>
      <c r="C308" t="s">
        <v>76</v>
      </c>
      <c r="D308" t="s">
        <v>49</v>
      </c>
      <c r="E308">
        <v>1599</v>
      </c>
      <c r="F308">
        <v>4</v>
      </c>
      <c r="G308">
        <v>6396</v>
      </c>
      <c r="H308" t="s">
        <v>66</v>
      </c>
      <c r="I308" t="s">
        <v>105</v>
      </c>
      <c r="J308" t="s">
        <v>32</v>
      </c>
      <c r="K308" t="s">
        <v>18</v>
      </c>
      <c r="L308" t="str">
        <f t="shared" si="8"/>
        <v>Apr</v>
      </c>
      <c r="M308" t="str">
        <f t="shared" si="9"/>
        <v>Wednesday</v>
      </c>
    </row>
    <row r="309" spans="1:13">
      <c r="A309" t="s">
        <v>526</v>
      </c>
      <c r="B309" t="s">
        <v>121</v>
      </c>
      <c r="C309" t="s">
        <v>122</v>
      </c>
      <c r="D309" t="s">
        <v>29</v>
      </c>
      <c r="E309">
        <v>1299</v>
      </c>
      <c r="F309">
        <v>5</v>
      </c>
      <c r="G309">
        <v>6495</v>
      </c>
      <c r="H309" t="s">
        <v>37</v>
      </c>
      <c r="I309" t="s">
        <v>105</v>
      </c>
      <c r="J309" t="s">
        <v>90</v>
      </c>
      <c r="K309" t="s">
        <v>18</v>
      </c>
      <c r="L309" t="str">
        <f t="shared" si="8"/>
        <v>Jan</v>
      </c>
      <c r="M309" t="str">
        <f t="shared" si="9"/>
        <v>Wednesday</v>
      </c>
    </row>
    <row r="310" spans="1:13">
      <c r="A310" t="s">
        <v>527</v>
      </c>
      <c r="B310" t="s">
        <v>365</v>
      </c>
      <c r="C310" t="s">
        <v>122</v>
      </c>
      <c r="D310" t="s">
        <v>29</v>
      </c>
      <c r="E310">
        <v>1299</v>
      </c>
      <c r="F310">
        <v>1</v>
      </c>
      <c r="G310">
        <v>1299</v>
      </c>
      <c r="H310" t="s">
        <v>56</v>
      </c>
      <c r="I310" t="s">
        <v>31</v>
      </c>
      <c r="J310" t="s">
        <v>17</v>
      </c>
      <c r="K310" t="s">
        <v>45</v>
      </c>
      <c r="L310" t="str">
        <f t="shared" si="8"/>
        <v>Jan</v>
      </c>
      <c r="M310" t="str">
        <f t="shared" si="9"/>
        <v>Monday</v>
      </c>
    </row>
    <row r="311" spans="1:13">
      <c r="A311" t="s">
        <v>528</v>
      </c>
      <c r="B311" t="s">
        <v>200</v>
      </c>
      <c r="C311" t="s">
        <v>52</v>
      </c>
      <c r="D311" t="s">
        <v>53</v>
      </c>
      <c r="E311">
        <v>199</v>
      </c>
      <c r="F311">
        <v>3</v>
      </c>
      <c r="G311">
        <v>597</v>
      </c>
      <c r="H311" t="s">
        <v>56</v>
      </c>
      <c r="I311" t="s">
        <v>44</v>
      </c>
      <c r="J311" t="s">
        <v>25</v>
      </c>
      <c r="K311" t="s">
        <v>18</v>
      </c>
      <c r="L311" t="str">
        <f t="shared" si="8"/>
        <v>Apr</v>
      </c>
      <c r="M311" t="str">
        <f t="shared" si="9"/>
        <v>Friday</v>
      </c>
    </row>
    <row r="312" spans="1:13">
      <c r="A312" t="s">
        <v>529</v>
      </c>
      <c r="B312" t="s">
        <v>167</v>
      </c>
      <c r="C312" t="s">
        <v>135</v>
      </c>
      <c r="D312" t="s">
        <v>29</v>
      </c>
      <c r="E312">
        <v>3999</v>
      </c>
      <c r="F312">
        <v>5</v>
      </c>
      <c r="G312">
        <v>19995</v>
      </c>
      <c r="H312" t="s">
        <v>95</v>
      </c>
      <c r="I312" t="s">
        <v>77</v>
      </c>
      <c r="J312" t="s">
        <v>38</v>
      </c>
      <c r="K312" t="s">
        <v>18</v>
      </c>
      <c r="L312" t="str">
        <f t="shared" si="8"/>
        <v>Mar</v>
      </c>
      <c r="M312" t="str">
        <f t="shared" si="9"/>
        <v>Thursday</v>
      </c>
    </row>
    <row r="313" spans="1:13">
      <c r="A313" t="s">
        <v>530</v>
      </c>
      <c r="B313" t="s">
        <v>445</v>
      </c>
      <c r="C313" t="s">
        <v>52</v>
      </c>
      <c r="D313" t="s">
        <v>53</v>
      </c>
      <c r="E313">
        <v>199</v>
      </c>
      <c r="F313">
        <v>1</v>
      </c>
      <c r="G313">
        <v>199</v>
      </c>
      <c r="H313" t="s">
        <v>66</v>
      </c>
      <c r="I313" t="s">
        <v>98</v>
      </c>
      <c r="J313" t="s">
        <v>25</v>
      </c>
      <c r="K313" t="s">
        <v>18</v>
      </c>
      <c r="L313" t="str">
        <f t="shared" si="8"/>
        <v>May</v>
      </c>
      <c r="M313" t="str">
        <f t="shared" si="9"/>
        <v>Wednesday</v>
      </c>
    </row>
    <row r="314" spans="1:13">
      <c r="A314" t="s">
        <v>531</v>
      </c>
      <c r="B314" t="s">
        <v>395</v>
      </c>
      <c r="C314" t="s">
        <v>76</v>
      </c>
      <c r="D314" t="s">
        <v>49</v>
      </c>
      <c r="E314">
        <v>1599</v>
      </c>
      <c r="F314">
        <v>5</v>
      </c>
      <c r="G314">
        <v>7995</v>
      </c>
      <c r="H314" t="s">
        <v>102</v>
      </c>
      <c r="I314" t="s">
        <v>44</v>
      </c>
      <c r="J314" t="s">
        <v>17</v>
      </c>
      <c r="K314" t="s">
        <v>18</v>
      </c>
      <c r="L314" t="str">
        <f t="shared" si="8"/>
        <v>Apr</v>
      </c>
      <c r="M314" t="str">
        <f t="shared" si="9"/>
        <v>Sunday</v>
      </c>
    </row>
    <row r="315" spans="1:13">
      <c r="A315" t="s">
        <v>532</v>
      </c>
      <c r="B315" t="s">
        <v>533</v>
      </c>
      <c r="C315" t="s">
        <v>87</v>
      </c>
      <c r="D315" t="s">
        <v>88</v>
      </c>
      <c r="E315">
        <v>5499</v>
      </c>
      <c r="F315">
        <v>3</v>
      </c>
      <c r="G315">
        <v>16497</v>
      </c>
      <c r="H315" t="s">
        <v>119</v>
      </c>
      <c r="I315" t="s">
        <v>105</v>
      </c>
      <c r="J315" t="s">
        <v>17</v>
      </c>
      <c r="K315" t="s">
        <v>18</v>
      </c>
      <c r="L315" t="str">
        <f t="shared" si="8"/>
        <v>Jan</v>
      </c>
      <c r="M315" t="str">
        <f t="shared" si="9"/>
        <v>Wednesday</v>
      </c>
    </row>
    <row r="316" spans="1:13">
      <c r="A316" t="s">
        <v>534</v>
      </c>
      <c r="B316" t="s">
        <v>255</v>
      </c>
      <c r="C316" t="s">
        <v>135</v>
      </c>
      <c r="D316" t="s">
        <v>29</v>
      </c>
      <c r="E316">
        <v>3999</v>
      </c>
      <c r="F316">
        <v>3</v>
      </c>
      <c r="G316">
        <v>11997</v>
      </c>
      <c r="H316" t="s">
        <v>62</v>
      </c>
      <c r="I316" t="s">
        <v>98</v>
      </c>
      <c r="J316" t="s">
        <v>38</v>
      </c>
      <c r="K316" t="s">
        <v>45</v>
      </c>
      <c r="L316" t="str">
        <f t="shared" si="8"/>
        <v>Mar</v>
      </c>
      <c r="M316" t="str">
        <f t="shared" si="9"/>
        <v>Thursday</v>
      </c>
    </row>
    <row r="317" spans="1:13">
      <c r="A317" t="s">
        <v>535</v>
      </c>
      <c r="B317" t="s">
        <v>130</v>
      </c>
      <c r="C317" t="s">
        <v>13</v>
      </c>
      <c r="D317" t="s">
        <v>14</v>
      </c>
      <c r="E317">
        <v>2499</v>
      </c>
      <c r="F317">
        <v>4</v>
      </c>
      <c r="G317">
        <v>9996</v>
      </c>
      <c r="H317" t="s">
        <v>119</v>
      </c>
      <c r="I317" t="s">
        <v>125</v>
      </c>
      <c r="J317" t="s">
        <v>32</v>
      </c>
      <c r="K317" t="s">
        <v>45</v>
      </c>
      <c r="L317" t="str">
        <f t="shared" si="8"/>
        <v>Jun</v>
      </c>
      <c r="M317" t="str">
        <f t="shared" si="9"/>
        <v>Monday</v>
      </c>
    </row>
    <row r="318" spans="1:13">
      <c r="A318" t="s">
        <v>536</v>
      </c>
      <c r="B318" t="s">
        <v>227</v>
      </c>
      <c r="C318" t="s">
        <v>52</v>
      </c>
      <c r="D318" t="s">
        <v>53</v>
      </c>
      <c r="E318">
        <v>199</v>
      </c>
      <c r="F318">
        <v>3</v>
      </c>
      <c r="G318">
        <v>597</v>
      </c>
      <c r="H318" t="s">
        <v>89</v>
      </c>
      <c r="I318" t="s">
        <v>44</v>
      </c>
      <c r="J318" t="s">
        <v>17</v>
      </c>
      <c r="K318" t="s">
        <v>18</v>
      </c>
      <c r="L318" t="str">
        <f t="shared" si="8"/>
        <v>Jan</v>
      </c>
      <c r="M318" t="str">
        <f t="shared" si="9"/>
        <v>Sunday</v>
      </c>
    </row>
    <row r="319" spans="1:13">
      <c r="A319" t="s">
        <v>537</v>
      </c>
      <c r="B319" t="s">
        <v>92</v>
      </c>
      <c r="C319" t="s">
        <v>70</v>
      </c>
      <c r="D319" t="s">
        <v>29</v>
      </c>
      <c r="E319">
        <v>799</v>
      </c>
      <c r="F319">
        <v>1</v>
      </c>
      <c r="G319">
        <v>799</v>
      </c>
      <c r="H319" t="s">
        <v>102</v>
      </c>
      <c r="I319" t="s">
        <v>44</v>
      </c>
      <c r="J319" t="s">
        <v>90</v>
      </c>
      <c r="K319" t="s">
        <v>18</v>
      </c>
      <c r="L319" t="str">
        <f t="shared" si="8"/>
        <v>Feb</v>
      </c>
      <c r="M319" t="str">
        <f t="shared" si="9"/>
        <v>Saturday</v>
      </c>
    </row>
    <row r="320" spans="1:13">
      <c r="A320" t="s">
        <v>538</v>
      </c>
      <c r="B320" t="s">
        <v>447</v>
      </c>
      <c r="C320" t="s">
        <v>122</v>
      </c>
      <c r="D320" t="s">
        <v>29</v>
      </c>
      <c r="E320">
        <v>1299</v>
      </c>
      <c r="F320">
        <v>3</v>
      </c>
      <c r="G320">
        <v>3897</v>
      </c>
      <c r="H320" t="s">
        <v>30</v>
      </c>
      <c r="I320" t="s">
        <v>31</v>
      </c>
      <c r="J320" t="s">
        <v>25</v>
      </c>
      <c r="K320" t="s">
        <v>18</v>
      </c>
      <c r="L320" t="str">
        <f t="shared" si="8"/>
        <v>May</v>
      </c>
      <c r="M320" t="str">
        <f t="shared" si="9"/>
        <v>Friday</v>
      </c>
    </row>
    <row r="321" spans="1:13">
      <c r="A321" t="s">
        <v>539</v>
      </c>
      <c r="B321" t="s">
        <v>42</v>
      </c>
      <c r="C321" t="s">
        <v>60</v>
      </c>
      <c r="D321" t="s">
        <v>61</v>
      </c>
      <c r="E321">
        <v>899</v>
      </c>
      <c r="F321">
        <v>1</v>
      </c>
      <c r="G321">
        <v>899</v>
      </c>
      <c r="H321" t="s">
        <v>23</v>
      </c>
      <c r="I321" t="s">
        <v>105</v>
      </c>
      <c r="J321" t="s">
        <v>32</v>
      </c>
      <c r="K321" t="s">
        <v>18</v>
      </c>
      <c r="L321" t="str">
        <f t="shared" si="8"/>
        <v>Mar</v>
      </c>
      <c r="M321" t="str">
        <f t="shared" si="9"/>
        <v>Wednesday</v>
      </c>
    </row>
    <row r="322" spans="1:13">
      <c r="A322" t="s">
        <v>540</v>
      </c>
      <c r="B322" t="s">
        <v>474</v>
      </c>
      <c r="C322" t="s">
        <v>60</v>
      </c>
      <c r="D322" t="s">
        <v>61</v>
      </c>
      <c r="E322">
        <v>899</v>
      </c>
      <c r="F322">
        <v>3</v>
      </c>
      <c r="G322">
        <v>2697</v>
      </c>
      <c r="H322" t="s">
        <v>23</v>
      </c>
      <c r="I322" t="s">
        <v>98</v>
      </c>
      <c r="J322" t="s">
        <v>90</v>
      </c>
      <c r="K322" t="s">
        <v>18</v>
      </c>
      <c r="L322" t="str">
        <f t="shared" si="8"/>
        <v>Apr</v>
      </c>
      <c r="M322" t="str">
        <f t="shared" si="9"/>
        <v>Thursday</v>
      </c>
    </row>
    <row r="323" spans="1:13">
      <c r="A323" t="s">
        <v>541</v>
      </c>
      <c r="B323" t="s">
        <v>356</v>
      </c>
      <c r="C323" t="s">
        <v>87</v>
      </c>
      <c r="D323" t="s">
        <v>88</v>
      </c>
      <c r="E323">
        <v>5499</v>
      </c>
      <c r="F323">
        <v>1</v>
      </c>
      <c r="G323">
        <v>5499</v>
      </c>
      <c r="H323" t="s">
        <v>15</v>
      </c>
      <c r="I323" t="s">
        <v>98</v>
      </c>
      <c r="J323" t="s">
        <v>17</v>
      </c>
      <c r="K323" t="s">
        <v>33</v>
      </c>
      <c r="L323" t="str">
        <f t="shared" ref="L323:L386" si="10">TEXT(B323,"MMM")</f>
        <v>Feb</v>
      </c>
      <c r="M323" t="str">
        <f t="shared" ref="M323:M386" si="11">TEXT(B323,"dddd")</f>
        <v>Wednesday</v>
      </c>
    </row>
    <row r="324" spans="1:13">
      <c r="A324" t="s">
        <v>542</v>
      </c>
      <c r="B324" t="s">
        <v>40</v>
      </c>
      <c r="C324" t="s">
        <v>21</v>
      </c>
      <c r="D324" t="s">
        <v>22</v>
      </c>
      <c r="E324">
        <v>1499</v>
      </c>
      <c r="F324">
        <v>1</v>
      </c>
      <c r="G324">
        <v>1499</v>
      </c>
      <c r="H324" t="s">
        <v>71</v>
      </c>
      <c r="I324" t="s">
        <v>31</v>
      </c>
      <c r="J324" t="s">
        <v>32</v>
      </c>
      <c r="K324" t="s">
        <v>18</v>
      </c>
      <c r="L324" t="str">
        <f t="shared" si="10"/>
        <v>Mar</v>
      </c>
      <c r="M324" t="str">
        <f t="shared" si="11"/>
        <v>Friday</v>
      </c>
    </row>
    <row r="325" spans="1:13">
      <c r="A325" t="s">
        <v>543</v>
      </c>
      <c r="B325" t="s">
        <v>100</v>
      </c>
      <c r="C325" t="s">
        <v>28</v>
      </c>
      <c r="D325" t="s">
        <v>29</v>
      </c>
      <c r="E325">
        <v>1299</v>
      </c>
      <c r="F325">
        <v>3</v>
      </c>
      <c r="G325">
        <v>3897</v>
      </c>
      <c r="H325" t="s">
        <v>89</v>
      </c>
      <c r="I325" t="s">
        <v>125</v>
      </c>
      <c r="J325" t="s">
        <v>25</v>
      </c>
      <c r="K325" t="s">
        <v>18</v>
      </c>
      <c r="L325" t="str">
        <f t="shared" si="10"/>
        <v>Jan</v>
      </c>
      <c r="M325" t="str">
        <f t="shared" si="11"/>
        <v>Friday</v>
      </c>
    </row>
    <row r="326" spans="1:13">
      <c r="A326" t="s">
        <v>544</v>
      </c>
      <c r="B326" t="s">
        <v>335</v>
      </c>
      <c r="C326" t="s">
        <v>87</v>
      </c>
      <c r="D326" t="s">
        <v>88</v>
      </c>
      <c r="E326">
        <v>5499</v>
      </c>
      <c r="F326">
        <v>3</v>
      </c>
      <c r="G326">
        <v>16497</v>
      </c>
      <c r="H326" t="s">
        <v>89</v>
      </c>
      <c r="I326" t="s">
        <v>24</v>
      </c>
      <c r="J326" t="s">
        <v>17</v>
      </c>
      <c r="K326" t="s">
        <v>18</v>
      </c>
      <c r="L326" t="str">
        <f t="shared" si="10"/>
        <v>Feb</v>
      </c>
      <c r="M326" t="str">
        <f t="shared" si="11"/>
        <v>Thursday</v>
      </c>
    </row>
    <row r="327" spans="1:13">
      <c r="A327" t="s">
        <v>545</v>
      </c>
      <c r="B327" t="s">
        <v>546</v>
      </c>
      <c r="C327" t="s">
        <v>21</v>
      </c>
      <c r="D327" t="s">
        <v>22</v>
      </c>
      <c r="E327">
        <v>1499</v>
      </c>
      <c r="F327">
        <v>4</v>
      </c>
      <c r="G327">
        <v>5996</v>
      </c>
      <c r="H327" t="s">
        <v>66</v>
      </c>
      <c r="I327" t="s">
        <v>63</v>
      </c>
      <c r="J327" t="s">
        <v>25</v>
      </c>
      <c r="K327" t="s">
        <v>18</v>
      </c>
      <c r="L327" t="str">
        <f t="shared" si="10"/>
        <v>Feb</v>
      </c>
      <c r="M327" t="str">
        <f t="shared" si="11"/>
        <v>Tuesday</v>
      </c>
    </row>
    <row r="328" spans="1:13">
      <c r="A328" t="s">
        <v>547</v>
      </c>
      <c r="B328" t="s">
        <v>20</v>
      </c>
      <c r="C328" t="s">
        <v>162</v>
      </c>
      <c r="D328" t="s">
        <v>29</v>
      </c>
      <c r="E328">
        <v>1799</v>
      </c>
      <c r="F328">
        <v>4</v>
      </c>
      <c r="G328">
        <v>7196</v>
      </c>
      <c r="H328" t="s">
        <v>23</v>
      </c>
      <c r="I328" t="s">
        <v>24</v>
      </c>
      <c r="J328" t="s">
        <v>38</v>
      </c>
      <c r="K328" t="s">
        <v>18</v>
      </c>
      <c r="L328" t="str">
        <f t="shared" si="10"/>
        <v>Jun</v>
      </c>
      <c r="M328" t="str">
        <f t="shared" si="11"/>
        <v>Friday</v>
      </c>
    </row>
    <row r="329" spans="1:13">
      <c r="A329" t="s">
        <v>548</v>
      </c>
      <c r="B329" t="s">
        <v>92</v>
      </c>
      <c r="C329" t="s">
        <v>87</v>
      </c>
      <c r="D329" t="s">
        <v>88</v>
      </c>
      <c r="E329">
        <v>5499</v>
      </c>
      <c r="F329">
        <v>2</v>
      </c>
      <c r="G329">
        <v>10998</v>
      </c>
      <c r="H329" t="s">
        <v>186</v>
      </c>
      <c r="I329" t="s">
        <v>77</v>
      </c>
      <c r="J329" t="s">
        <v>90</v>
      </c>
      <c r="K329" t="s">
        <v>18</v>
      </c>
      <c r="L329" t="str">
        <f t="shared" si="10"/>
        <v>Feb</v>
      </c>
      <c r="M329" t="str">
        <f t="shared" si="11"/>
        <v>Saturday</v>
      </c>
    </row>
    <row r="330" spans="1:13">
      <c r="A330" t="s">
        <v>549</v>
      </c>
      <c r="B330" t="s">
        <v>546</v>
      </c>
      <c r="C330" t="s">
        <v>76</v>
      </c>
      <c r="D330" t="s">
        <v>49</v>
      </c>
      <c r="E330">
        <v>1599</v>
      </c>
      <c r="F330">
        <v>2</v>
      </c>
      <c r="G330">
        <v>3198</v>
      </c>
      <c r="H330" t="s">
        <v>23</v>
      </c>
      <c r="I330" t="s">
        <v>98</v>
      </c>
      <c r="J330" t="s">
        <v>17</v>
      </c>
      <c r="K330" t="s">
        <v>45</v>
      </c>
      <c r="L330" t="str">
        <f t="shared" si="10"/>
        <v>Feb</v>
      </c>
      <c r="M330" t="str">
        <f t="shared" si="11"/>
        <v>Tuesday</v>
      </c>
    </row>
    <row r="331" spans="1:13">
      <c r="A331" t="s">
        <v>550</v>
      </c>
      <c r="B331" t="s">
        <v>205</v>
      </c>
      <c r="C331" t="s">
        <v>13</v>
      </c>
      <c r="D331" t="s">
        <v>14</v>
      </c>
      <c r="E331">
        <v>2499</v>
      </c>
      <c r="F331">
        <v>4</v>
      </c>
      <c r="G331">
        <v>9996</v>
      </c>
      <c r="H331" t="s">
        <v>102</v>
      </c>
      <c r="I331" t="s">
        <v>16</v>
      </c>
      <c r="J331" t="s">
        <v>17</v>
      </c>
      <c r="K331" t="s">
        <v>18</v>
      </c>
      <c r="L331" t="str">
        <f t="shared" si="10"/>
        <v>Jan</v>
      </c>
      <c r="M331" t="str">
        <f t="shared" si="11"/>
        <v>Wednesday</v>
      </c>
    </row>
    <row r="332" spans="1:13">
      <c r="A332" t="s">
        <v>551</v>
      </c>
      <c r="B332" t="s">
        <v>217</v>
      </c>
      <c r="C332" t="s">
        <v>28</v>
      </c>
      <c r="D332" t="s">
        <v>29</v>
      </c>
      <c r="E332">
        <v>1299</v>
      </c>
      <c r="F332">
        <v>4</v>
      </c>
      <c r="G332">
        <v>5196</v>
      </c>
      <c r="H332" t="s">
        <v>37</v>
      </c>
      <c r="I332" t="s">
        <v>57</v>
      </c>
      <c r="J332" t="s">
        <v>17</v>
      </c>
      <c r="K332" t="s">
        <v>18</v>
      </c>
      <c r="L332" t="str">
        <f t="shared" si="10"/>
        <v>Jun</v>
      </c>
      <c r="M332" t="str">
        <f t="shared" si="11"/>
        <v>Sunday</v>
      </c>
    </row>
    <row r="333" spans="1:13">
      <c r="A333" t="s">
        <v>552</v>
      </c>
      <c r="B333" t="s">
        <v>553</v>
      </c>
      <c r="C333" t="s">
        <v>13</v>
      </c>
      <c r="D333" t="s">
        <v>14</v>
      </c>
      <c r="E333">
        <v>2499</v>
      </c>
      <c r="F333">
        <v>4</v>
      </c>
      <c r="G333">
        <v>9996</v>
      </c>
      <c r="H333" t="s">
        <v>95</v>
      </c>
      <c r="I333" t="s">
        <v>31</v>
      </c>
      <c r="J333" t="s">
        <v>17</v>
      </c>
      <c r="K333" t="s">
        <v>18</v>
      </c>
      <c r="L333" t="str">
        <f t="shared" si="10"/>
        <v>Mar</v>
      </c>
      <c r="M333" t="str">
        <f t="shared" si="11"/>
        <v>Tuesday</v>
      </c>
    </row>
    <row r="334" spans="1:13">
      <c r="A334" t="s">
        <v>554</v>
      </c>
      <c r="B334" t="s">
        <v>152</v>
      </c>
      <c r="C334" t="s">
        <v>101</v>
      </c>
      <c r="D334" t="s">
        <v>81</v>
      </c>
      <c r="E334">
        <v>499</v>
      </c>
      <c r="F334">
        <v>2</v>
      </c>
      <c r="G334">
        <v>998</v>
      </c>
      <c r="H334" t="s">
        <v>23</v>
      </c>
      <c r="I334" t="s">
        <v>44</v>
      </c>
      <c r="J334" t="s">
        <v>90</v>
      </c>
      <c r="K334" t="s">
        <v>45</v>
      </c>
      <c r="L334" t="str">
        <f t="shared" si="10"/>
        <v>Apr</v>
      </c>
      <c r="M334" t="str">
        <f t="shared" si="11"/>
        <v>Saturday</v>
      </c>
    </row>
    <row r="335" spans="1:13">
      <c r="A335" t="s">
        <v>555</v>
      </c>
      <c r="B335" t="s">
        <v>205</v>
      </c>
      <c r="C335" t="s">
        <v>13</v>
      </c>
      <c r="D335" t="s">
        <v>14</v>
      </c>
      <c r="E335">
        <v>2499</v>
      </c>
      <c r="F335">
        <v>4</v>
      </c>
      <c r="G335">
        <v>9996</v>
      </c>
      <c r="H335" t="s">
        <v>43</v>
      </c>
      <c r="I335" t="s">
        <v>57</v>
      </c>
      <c r="J335" t="s">
        <v>32</v>
      </c>
      <c r="K335" t="s">
        <v>18</v>
      </c>
      <c r="L335" t="str">
        <f t="shared" si="10"/>
        <v>Jan</v>
      </c>
      <c r="M335" t="str">
        <f t="shared" si="11"/>
        <v>Wednesday</v>
      </c>
    </row>
    <row r="336" spans="1:13">
      <c r="A336" t="s">
        <v>556</v>
      </c>
      <c r="B336" t="s">
        <v>557</v>
      </c>
      <c r="C336" t="s">
        <v>28</v>
      </c>
      <c r="D336" t="s">
        <v>29</v>
      </c>
      <c r="E336">
        <v>1299</v>
      </c>
      <c r="F336">
        <v>1</v>
      </c>
      <c r="G336">
        <v>1299</v>
      </c>
      <c r="H336" t="s">
        <v>89</v>
      </c>
      <c r="I336" t="s">
        <v>44</v>
      </c>
      <c r="J336" t="s">
        <v>32</v>
      </c>
      <c r="K336" t="s">
        <v>18</v>
      </c>
      <c r="L336" t="str">
        <f t="shared" si="10"/>
        <v>Jan</v>
      </c>
      <c r="M336" t="str">
        <f t="shared" si="11"/>
        <v>Saturday</v>
      </c>
    </row>
    <row r="337" spans="1:13">
      <c r="A337" t="s">
        <v>558</v>
      </c>
      <c r="B337" t="s">
        <v>321</v>
      </c>
      <c r="C337" t="s">
        <v>52</v>
      </c>
      <c r="D337" t="s">
        <v>53</v>
      </c>
      <c r="E337">
        <v>199</v>
      </c>
      <c r="F337">
        <v>1</v>
      </c>
      <c r="G337">
        <v>199</v>
      </c>
      <c r="H337" t="s">
        <v>89</v>
      </c>
      <c r="I337" t="s">
        <v>98</v>
      </c>
      <c r="J337" t="s">
        <v>90</v>
      </c>
      <c r="K337" t="s">
        <v>18</v>
      </c>
      <c r="L337" t="str">
        <f t="shared" si="10"/>
        <v>May</v>
      </c>
      <c r="M337" t="str">
        <f t="shared" si="11"/>
        <v>Saturday</v>
      </c>
    </row>
    <row r="338" spans="1:13">
      <c r="A338" t="s">
        <v>559</v>
      </c>
      <c r="B338" t="s">
        <v>257</v>
      </c>
      <c r="C338" t="s">
        <v>52</v>
      </c>
      <c r="D338" t="s">
        <v>53</v>
      </c>
      <c r="E338">
        <v>199</v>
      </c>
      <c r="F338">
        <v>3</v>
      </c>
      <c r="G338">
        <v>597</v>
      </c>
      <c r="H338" t="s">
        <v>102</v>
      </c>
      <c r="I338" t="s">
        <v>63</v>
      </c>
      <c r="J338" t="s">
        <v>32</v>
      </c>
      <c r="K338" t="s">
        <v>18</v>
      </c>
      <c r="L338" t="str">
        <f t="shared" si="10"/>
        <v>Apr</v>
      </c>
      <c r="M338" t="str">
        <f t="shared" si="11"/>
        <v>Wednesday</v>
      </c>
    </row>
    <row r="339" spans="1:13">
      <c r="A339" t="s">
        <v>560</v>
      </c>
      <c r="B339" t="s">
        <v>561</v>
      </c>
      <c r="C339" t="s">
        <v>70</v>
      </c>
      <c r="D339" t="s">
        <v>29</v>
      </c>
      <c r="E339">
        <v>799</v>
      </c>
      <c r="F339">
        <v>4</v>
      </c>
      <c r="G339">
        <v>3196</v>
      </c>
      <c r="H339" t="s">
        <v>186</v>
      </c>
      <c r="I339" t="s">
        <v>44</v>
      </c>
      <c r="J339" t="s">
        <v>38</v>
      </c>
      <c r="K339" t="s">
        <v>18</v>
      </c>
      <c r="L339" t="str">
        <f t="shared" si="10"/>
        <v>Jun</v>
      </c>
      <c r="M339" t="str">
        <f t="shared" si="11"/>
        <v>Monday</v>
      </c>
    </row>
    <row r="340" spans="1:13">
      <c r="A340" t="s">
        <v>562</v>
      </c>
      <c r="B340" t="s">
        <v>203</v>
      </c>
      <c r="C340" t="s">
        <v>101</v>
      </c>
      <c r="D340" t="s">
        <v>81</v>
      </c>
      <c r="E340">
        <v>499</v>
      </c>
      <c r="F340">
        <v>1</v>
      </c>
      <c r="G340">
        <v>499</v>
      </c>
      <c r="H340" t="s">
        <v>102</v>
      </c>
      <c r="I340" t="s">
        <v>67</v>
      </c>
      <c r="J340" t="s">
        <v>25</v>
      </c>
      <c r="K340" t="s">
        <v>18</v>
      </c>
      <c r="L340" t="str">
        <f t="shared" si="10"/>
        <v>Feb</v>
      </c>
      <c r="M340" t="str">
        <f t="shared" si="11"/>
        <v>Friday</v>
      </c>
    </row>
    <row r="341" spans="1:13">
      <c r="A341" t="s">
        <v>563</v>
      </c>
      <c r="B341" t="s">
        <v>12</v>
      </c>
      <c r="C341" t="s">
        <v>60</v>
      </c>
      <c r="D341" t="s">
        <v>61</v>
      </c>
      <c r="E341">
        <v>899</v>
      </c>
      <c r="F341">
        <v>3</v>
      </c>
      <c r="G341">
        <v>2697</v>
      </c>
      <c r="H341" t="s">
        <v>71</v>
      </c>
      <c r="I341" t="s">
        <v>125</v>
      </c>
      <c r="J341" t="s">
        <v>17</v>
      </c>
      <c r="K341" t="s">
        <v>18</v>
      </c>
      <c r="L341" t="str">
        <f t="shared" si="10"/>
        <v>Apr</v>
      </c>
      <c r="M341" t="str">
        <f t="shared" si="11"/>
        <v>Thursday</v>
      </c>
    </row>
    <row r="342" spans="1:13">
      <c r="A342" t="s">
        <v>564</v>
      </c>
      <c r="B342" t="s">
        <v>92</v>
      </c>
      <c r="C342" t="s">
        <v>80</v>
      </c>
      <c r="D342" t="s">
        <v>81</v>
      </c>
      <c r="E342">
        <v>299</v>
      </c>
      <c r="F342">
        <v>1</v>
      </c>
      <c r="G342">
        <v>299</v>
      </c>
      <c r="H342" t="s">
        <v>37</v>
      </c>
      <c r="I342" t="s">
        <v>125</v>
      </c>
      <c r="J342" t="s">
        <v>90</v>
      </c>
      <c r="K342" t="s">
        <v>18</v>
      </c>
      <c r="L342" t="str">
        <f t="shared" si="10"/>
        <v>Feb</v>
      </c>
      <c r="M342" t="str">
        <f t="shared" si="11"/>
        <v>Saturday</v>
      </c>
    </row>
    <row r="343" spans="1:13">
      <c r="A343" t="s">
        <v>565</v>
      </c>
      <c r="B343" t="s">
        <v>387</v>
      </c>
      <c r="C343" t="s">
        <v>101</v>
      </c>
      <c r="D343" t="s">
        <v>81</v>
      </c>
      <c r="E343">
        <v>499</v>
      </c>
      <c r="F343">
        <v>1</v>
      </c>
      <c r="G343">
        <v>499</v>
      </c>
      <c r="H343" t="s">
        <v>95</v>
      </c>
      <c r="I343" t="s">
        <v>31</v>
      </c>
      <c r="J343" t="s">
        <v>38</v>
      </c>
      <c r="K343" t="s">
        <v>33</v>
      </c>
      <c r="L343" t="str">
        <f t="shared" si="10"/>
        <v>Jun</v>
      </c>
      <c r="M343" t="str">
        <f t="shared" si="11"/>
        <v>Sunday</v>
      </c>
    </row>
    <row r="344" spans="1:13">
      <c r="A344" t="s">
        <v>566</v>
      </c>
      <c r="B344" t="s">
        <v>229</v>
      </c>
      <c r="C344" t="s">
        <v>21</v>
      </c>
      <c r="D344" t="s">
        <v>22</v>
      </c>
      <c r="E344">
        <v>1499</v>
      </c>
      <c r="F344">
        <v>2</v>
      </c>
      <c r="G344">
        <v>2998</v>
      </c>
      <c r="H344" t="s">
        <v>43</v>
      </c>
      <c r="I344" t="s">
        <v>67</v>
      </c>
      <c r="J344" t="s">
        <v>17</v>
      </c>
      <c r="K344" t="s">
        <v>18</v>
      </c>
      <c r="L344" t="str">
        <f t="shared" si="10"/>
        <v>Jan</v>
      </c>
      <c r="M344" t="str">
        <f t="shared" si="11"/>
        <v>Friday</v>
      </c>
    </row>
    <row r="345" spans="1:13">
      <c r="A345" t="s">
        <v>567</v>
      </c>
      <c r="B345" t="s">
        <v>568</v>
      </c>
      <c r="C345" t="s">
        <v>21</v>
      </c>
      <c r="D345" t="s">
        <v>22</v>
      </c>
      <c r="E345">
        <v>1499</v>
      </c>
      <c r="F345">
        <v>3</v>
      </c>
      <c r="G345">
        <v>4497</v>
      </c>
      <c r="H345" t="s">
        <v>23</v>
      </c>
      <c r="I345" t="s">
        <v>125</v>
      </c>
      <c r="J345" t="s">
        <v>90</v>
      </c>
      <c r="K345" t="s">
        <v>33</v>
      </c>
      <c r="L345" t="str">
        <f t="shared" si="10"/>
        <v>May</v>
      </c>
      <c r="M345" t="str">
        <f t="shared" si="11"/>
        <v>Sunday</v>
      </c>
    </row>
    <row r="346" spans="1:13">
      <c r="A346" t="s">
        <v>569</v>
      </c>
      <c r="B346" t="s">
        <v>84</v>
      </c>
      <c r="C346" t="s">
        <v>162</v>
      </c>
      <c r="D346" t="s">
        <v>29</v>
      </c>
      <c r="E346">
        <v>1799</v>
      </c>
      <c r="F346">
        <v>2</v>
      </c>
      <c r="G346">
        <v>3598</v>
      </c>
      <c r="H346" t="s">
        <v>71</v>
      </c>
      <c r="I346" t="s">
        <v>82</v>
      </c>
      <c r="J346" t="s">
        <v>38</v>
      </c>
      <c r="K346" t="s">
        <v>18</v>
      </c>
      <c r="L346" t="str">
        <f t="shared" si="10"/>
        <v>Mar</v>
      </c>
      <c r="M346" t="str">
        <f t="shared" si="11"/>
        <v>Saturday</v>
      </c>
    </row>
    <row r="347" spans="1:13">
      <c r="A347" t="s">
        <v>570</v>
      </c>
      <c r="B347" t="s">
        <v>340</v>
      </c>
      <c r="C347" t="s">
        <v>21</v>
      </c>
      <c r="D347" t="s">
        <v>22</v>
      </c>
      <c r="E347">
        <v>1499</v>
      </c>
      <c r="F347">
        <v>4</v>
      </c>
      <c r="G347">
        <v>5996</v>
      </c>
      <c r="H347" t="s">
        <v>56</v>
      </c>
      <c r="I347" t="s">
        <v>77</v>
      </c>
      <c r="J347" t="s">
        <v>32</v>
      </c>
      <c r="K347" t="s">
        <v>45</v>
      </c>
      <c r="L347" t="str">
        <f t="shared" si="10"/>
        <v>May</v>
      </c>
      <c r="M347" t="str">
        <f t="shared" si="11"/>
        <v>Saturday</v>
      </c>
    </row>
    <row r="348" spans="1:13">
      <c r="A348" t="s">
        <v>571</v>
      </c>
      <c r="B348" t="s">
        <v>51</v>
      </c>
      <c r="C348" t="s">
        <v>122</v>
      </c>
      <c r="D348" t="s">
        <v>29</v>
      </c>
      <c r="E348">
        <v>1299</v>
      </c>
      <c r="F348">
        <v>3</v>
      </c>
      <c r="G348">
        <v>3897</v>
      </c>
      <c r="H348" t="s">
        <v>37</v>
      </c>
      <c r="I348" t="s">
        <v>98</v>
      </c>
      <c r="J348" t="s">
        <v>25</v>
      </c>
      <c r="K348" t="s">
        <v>18</v>
      </c>
      <c r="L348" t="str">
        <f t="shared" si="10"/>
        <v>May</v>
      </c>
      <c r="M348" t="str">
        <f t="shared" si="11"/>
        <v>Monday</v>
      </c>
    </row>
    <row r="349" spans="1:13">
      <c r="A349" t="s">
        <v>572</v>
      </c>
      <c r="B349" t="s">
        <v>331</v>
      </c>
      <c r="C349" t="s">
        <v>36</v>
      </c>
      <c r="D349" t="s">
        <v>29</v>
      </c>
      <c r="E349">
        <v>1999</v>
      </c>
      <c r="F349">
        <v>2</v>
      </c>
      <c r="G349">
        <v>3998</v>
      </c>
      <c r="H349" t="s">
        <v>43</v>
      </c>
      <c r="I349" t="s">
        <v>31</v>
      </c>
      <c r="J349" t="s">
        <v>38</v>
      </c>
      <c r="K349" t="s">
        <v>18</v>
      </c>
      <c r="L349" t="str">
        <f t="shared" si="10"/>
        <v>May</v>
      </c>
      <c r="M349" t="str">
        <f t="shared" si="11"/>
        <v>Wednesday</v>
      </c>
    </row>
    <row r="350" spans="1:13">
      <c r="A350" t="s">
        <v>573</v>
      </c>
      <c r="B350" t="s">
        <v>156</v>
      </c>
      <c r="C350" t="s">
        <v>28</v>
      </c>
      <c r="D350" t="s">
        <v>29</v>
      </c>
      <c r="E350">
        <v>1299</v>
      </c>
      <c r="F350">
        <v>5</v>
      </c>
      <c r="G350">
        <v>6495</v>
      </c>
      <c r="H350" t="s">
        <v>71</v>
      </c>
      <c r="I350" t="s">
        <v>77</v>
      </c>
      <c r="J350" t="s">
        <v>38</v>
      </c>
      <c r="K350" t="s">
        <v>18</v>
      </c>
      <c r="L350" t="str">
        <f t="shared" si="10"/>
        <v>Mar</v>
      </c>
      <c r="M350" t="str">
        <f t="shared" si="11"/>
        <v>Tuesday</v>
      </c>
    </row>
    <row r="351" spans="1:13">
      <c r="A351" t="s">
        <v>574</v>
      </c>
      <c r="B351" t="s">
        <v>207</v>
      </c>
      <c r="C351" t="s">
        <v>162</v>
      </c>
      <c r="D351" t="s">
        <v>29</v>
      </c>
      <c r="E351">
        <v>1799</v>
      </c>
      <c r="F351">
        <v>4</v>
      </c>
      <c r="G351">
        <v>7196</v>
      </c>
      <c r="H351" t="s">
        <v>119</v>
      </c>
      <c r="I351" t="s">
        <v>16</v>
      </c>
      <c r="J351" t="s">
        <v>25</v>
      </c>
      <c r="K351" t="s">
        <v>18</v>
      </c>
      <c r="L351" t="str">
        <f t="shared" si="10"/>
        <v>Feb</v>
      </c>
      <c r="M351" t="str">
        <f t="shared" si="11"/>
        <v>Monday</v>
      </c>
    </row>
    <row r="352" spans="1:13">
      <c r="A352" t="s">
        <v>575</v>
      </c>
      <c r="B352" t="s">
        <v>576</v>
      </c>
      <c r="C352" t="s">
        <v>70</v>
      </c>
      <c r="D352" t="s">
        <v>29</v>
      </c>
      <c r="E352">
        <v>799</v>
      </c>
      <c r="F352">
        <v>4</v>
      </c>
      <c r="G352">
        <v>3196</v>
      </c>
      <c r="H352" t="s">
        <v>37</v>
      </c>
      <c r="I352" t="s">
        <v>16</v>
      </c>
      <c r="J352" t="s">
        <v>17</v>
      </c>
      <c r="K352" t="s">
        <v>45</v>
      </c>
      <c r="L352" t="str">
        <f t="shared" si="10"/>
        <v>Mar</v>
      </c>
      <c r="M352" t="str">
        <f t="shared" si="11"/>
        <v>Tuesday</v>
      </c>
    </row>
    <row r="353" spans="1:13">
      <c r="A353" t="s">
        <v>577</v>
      </c>
      <c r="B353" t="s">
        <v>212</v>
      </c>
      <c r="C353" t="s">
        <v>87</v>
      </c>
      <c r="D353" t="s">
        <v>88</v>
      </c>
      <c r="E353">
        <v>5499</v>
      </c>
      <c r="F353">
        <v>4</v>
      </c>
      <c r="G353">
        <v>21996</v>
      </c>
      <c r="H353" t="s">
        <v>95</v>
      </c>
      <c r="I353" t="s">
        <v>105</v>
      </c>
      <c r="J353" t="s">
        <v>38</v>
      </c>
      <c r="K353" t="s">
        <v>18</v>
      </c>
      <c r="L353" t="str">
        <f t="shared" si="10"/>
        <v>Mar</v>
      </c>
      <c r="M353" t="str">
        <f t="shared" si="11"/>
        <v>Monday</v>
      </c>
    </row>
    <row r="354" spans="1:13">
      <c r="A354" t="s">
        <v>578</v>
      </c>
      <c r="B354" t="s">
        <v>79</v>
      </c>
      <c r="C354" t="s">
        <v>87</v>
      </c>
      <c r="D354" t="s">
        <v>88</v>
      </c>
      <c r="E354">
        <v>5499</v>
      </c>
      <c r="F354">
        <v>4</v>
      </c>
      <c r="G354">
        <v>21996</v>
      </c>
      <c r="H354" t="s">
        <v>95</v>
      </c>
      <c r="I354" t="s">
        <v>16</v>
      </c>
      <c r="J354" t="s">
        <v>38</v>
      </c>
      <c r="K354" t="s">
        <v>18</v>
      </c>
      <c r="L354" t="str">
        <f t="shared" si="10"/>
        <v>Jan</v>
      </c>
      <c r="M354" t="str">
        <f t="shared" si="11"/>
        <v>Wednesday</v>
      </c>
    </row>
    <row r="355" spans="1:13">
      <c r="A355" t="s">
        <v>579</v>
      </c>
      <c r="B355" t="s">
        <v>335</v>
      </c>
      <c r="C355" t="s">
        <v>87</v>
      </c>
      <c r="D355" t="s">
        <v>88</v>
      </c>
      <c r="E355">
        <v>5499</v>
      </c>
      <c r="F355">
        <v>4</v>
      </c>
      <c r="G355">
        <v>21996</v>
      </c>
      <c r="H355" t="s">
        <v>119</v>
      </c>
      <c r="I355" t="s">
        <v>16</v>
      </c>
      <c r="J355" t="s">
        <v>32</v>
      </c>
      <c r="K355" t="s">
        <v>18</v>
      </c>
      <c r="L355" t="str">
        <f t="shared" si="10"/>
        <v>Feb</v>
      </c>
      <c r="M355" t="str">
        <f t="shared" si="11"/>
        <v>Thursday</v>
      </c>
    </row>
    <row r="356" spans="1:13">
      <c r="A356" t="s">
        <v>580</v>
      </c>
      <c r="B356" t="s">
        <v>379</v>
      </c>
      <c r="C356" t="s">
        <v>135</v>
      </c>
      <c r="D356" t="s">
        <v>29</v>
      </c>
      <c r="E356">
        <v>3999</v>
      </c>
      <c r="F356">
        <v>2</v>
      </c>
      <c r="G356">
        <v>7998</v>
      </c>
      <c r="H356" t="s">
        <v>102</v>
      </c>
      <c r="I356" t="s">
        <v>63</v>
      </c>
      <c r="J356" t="s">
        <v>17</v>
      </c>
      <c r="K356" t="s">
        <v>18</v>
      </c>
      <c r="L356" t="str">
        <f t="shared" si="10"/>
        <v>Jun</v>
      </c>
      <c r="M356" t="str">
        <f t="shared" si="11"/>
        <v>Friday</v>
      </c>
    </row>
    <row r="357" spans="1:13">
      <c r="A357" t="s">
        <v>581</v>
      </c>
      <c r="B357" t="s">
        <v>84</v>
      </c>
      <c r="C357" t="s">
        <v>122</v>
      </c>
      <c r="D357" t="s">
        <v>29</v>
      </c>
      <c r="E357">
        <v>1299</v>
      </c>
      <c r="F357">
        <v>1</v>
      </c>
      <c r="G357">
        <v>1299</v>
      </c>
      <c r="H357" t="s">
        <v>89</v>
      </c>
      <c r="I357" t="s">
        <v>67</v>
      </c>
      <c r="J357" t="s">
        <v>17</v>
      </c>
      <c r="K357" t="s">
        <v>18</v>
      </c>
      <c r="L357" t="str">
        <f t="shared" si="10"/>
        <v>Mar</v>
      </c>
      <c r="M357" t="str">
        <f t="shared" si="11"/>
        <v>Saturday</v>
      </c>
    </row>
    <row r="358" spans="1:13">
      <c r="A358" t="s">
        <v>582</v>
      </c>
      <c r="B358" t="s">
        <v>512</v>
      </c>
      <c r="C358" t="s">
        <v>21</v>
      </c>
      <c r="D358" t="s">
        <v>22</v>
      </c>
      <c r="E358">
        <v>1499</v>
      </c>
      <c r="F358">
        <v>4</v>
      </c>
      <c r="G358">
        <v>5996</v>
      </c>
      <c r="H358" t="s">
        <v>119</v>
      </c>
      <c r="I358" t="s">
        <v>67</v>
      </c>
      <c r="J358" t="s">
        <v>38</v>
      </c>
      <c r="K358" t="s">
        <v>18</v>
      </c>
      <c r="L358" t="str">
        <f t="shared" si="10"/>
        <v>Mar</v>
      </c>
      <c r="M358" t="str">
        <f t="shared" si="11"/>
        <v>Wednesday</v>
      </c>
    </row>
    <row r="359" spans="1:13">
      <c r="A359" t="s">
        <v>583</v>
      </c>
      <c r="B359" t="s">
        <v>340</v>
      </c>
      <c r="C359" t="s">
        <v>135</v>
      </c>
      <c r="D359" t="s">
        <v>29</v>
      </c>
      <c r="E359">
        <v>3999</v>
      </c>
      <c r="F359">
        <v>3</v>
      </c>
      <c r="G359">
        <v>11997</v>
      </c>
      <c r="H359" t="s">
        <v>56</v>
      </c>
      <c r="I359" t="s">
        <v>67</v>
      </c>
      <c r="J359" t="s">
        <v>25</v>
      </c>
      <c r="K359" t="s">
        <v>18</v>
      </c>
      <c r="L359" t="str">
        <f t="shared" si="10"/>
        <v>May</v>
      </c>
      <c r="M359" t="str">
        <f t="shared" si="11"/>
        <v>Saturday</v>
      </c>
    </row>
    <row r="360" spans="1:13">
      <c r="A360" t="s">
        <v>584</v>
      </c>
      <c r="B360" t="s">
        <v>423</v>
      </c>
      <c r="C360" t="s">
        <v>21</v>
      </c>
      <c r="D360" t="s">
        <v>22</v>
      </c>
      <c r="E360">
        <v>1499</v>
      </c>
      <c r="F360">
        <v>5</v>
      </c>
      <c r="G360">
        <v>7495</v>
      </c>
      <c r="H360" t="s">
        <v>15</v>
      </c>
      <c r="I360" t="s">
        <v>57</v>
      </c>
      <c r="J360" t="s">
        <v>25</v>
      </c>
      <c r="K360" t="s">
        <v>18</v>
      </c>
      <c r="L360" t="str">
        <f t="shared" si="10"/>
        <v>Apr</v>
      </c>
      <c r="M360" t="str">
        <f t="shared" si="11"/>
        <v>Tuesday</v>
      </c>
    </row>
    <row r="361" spans="1:13">
      <c r="A361" t="s">
        <v>585</v>
      </c>
      <c r="B361" t="s">
        <v>340</v>
      </c>
      <c r="C361" t="s">
        <v>135</v>
      </c>
      <c r="D361" t="s">
        <v>29</v>
      </c>
      <c r="E361">
        <v>3999</v>
      </c>
      <c r="F361">
        <v>3</v>
      </c>
      <c r="G361">
        <v>11997</v>
      </c>
      <c r="H361" t="s">
        <v>43</v>
      </c>
      <c r="I361" t="s">
        <v>67</v>
      </c>
      <c r="J361" t="s">
        <v>25</v>
      </c>
      <c r="K361" t="s">
        <v>18</v>
      </c>
      <c r="L361" t="str">
        <f t="shared" si="10"/>
        <v>May</v>
      </c>
      <c r="M361" t="str">
        <f t="shared" si="11"/>
        <v>Saturday</v>
      </c>
    </row>
    <row r="362" spans="1:13">
      <c r="A362" t="s">
        <v>586</v>
      </c>
      <c r="B362" t="s">
        <v>587</v>
      </c>
      <c r="C362" t="s">
        <v>28</v>
      </c>
      <c r="D362" t="s">
        <v>29</v>
      </c>
      <c r="E362">
        <v>1299</v>
      </c>
      <c r="F362">
        <v>1</v>
      </c>
      <c r="G362">
        <v>1299</v>
      </c>
      <c r="H362" t="s">
        <v>186</v>
      </c>
      <c r="I362" t="s">
        <v>82</v>
      </c>
      <c r="J362" t="s">
        <v>32</v>
      </c>
      <c r="K362" t="s">
        <v>18</v>
      </c>
      <c r="L362" t="str">
        <f t="shared" si="10"/>
        <v>Jun</v>
      </c>
      <c r="M362" t="str">
        <f t="shared" si="11"/>
        <v>Monday</v>
      </c>
    </row>
    <row r="363" spans="1:13">
      <c r="A363" t="s">
        <v>588</v>
      </c>
      <c r="B363" t="s">
        <v>297</v>
      </c>
      <c r="C363" t="s">
        <v>162</v>
      </c>
      <c r="D363" t="s">
        <v>29</v>
      </c>
      <c r="E363">
        <v>1799</v>
      </c>
      <c r="F363">
        <v>3</v>
      </c>
      <c r="G363">
        <v>5397</v>
      </c>
      <c r="H363" t="s">
        <v>43</v>
      </c>
      <c r="I363" t="s">
        <v>125</v>
      </c>
      <c r="J363" t="s">
        <v>17</v>
      </c>
      <c r="K363" t="s">
        <v>18</v>
      </c>
      <c r="L363" t="str">
        <f t="shared" si="10"/>
        <v>Feb</v>
      </c>
      <c r="M363" t="str">
        <f t="shared" si="11"/>
        <v>Thursday</v>
      </c>
    </row>
    <row r="364" spans="1:13">
      <c r="A364" t="s">
        <v>589</v>
      </c>
      <c r="B364" t="s">
        <v>79</v>
      </c>
      <c r="C364" t="s">
        <v>80</v>
      </c>
      <c r="D364" t="s">
        <v>81</v>
      </c>
      <c r="E364">
        <v>299</v>
      </c>
      <c r="F364">
        <v>4</v>
      </c>
      <c r="G364">
        <v>1196</v>
      </c>
      <c r="H364" t="s">
        <v>89</v>
      </c>
      <c r="I364" t="s">
        <v>82</v>
      </c>
      <c r="J364" t="s">
        <v>32</v>
      </c>
      <c r="K364" t="s">
        <v>45</v>
      </c>
      <c r="L364" t="str">
        <f t="shared" si="10"/>
        <v>Jan</v>
      </c>
      <c r="M364" t="str">
        <f t="shared" si="11"/>
        <v>Wednesday</v>
      </c>
    </row>
    <row r="365" spans="1:13">
      <c r="A365" t="s">
        <v>590</v>
      </c>
      <c r="B365" t="s">
        <v>109</v>
      </c>
      <c r="C365" t="s">
        <v>76</v>
      </c>
      <c r="D365" t="s">
        <v>49</v>
      </c>
      <c r="E365">
        <v>1599</v>
      </c>
      <c r="F365">
        <v>3</v>
      </c>
      <c r="G365">
        <v>4797</v>
      </c>
      <c r="H365" t="s">
        <v>66</v>
      </c>
      <c r="I365" t="s">
        <v>98</v>
      </c>
      <c r="J365" t="s">
        <v>17</v>
      </c>
      <c r="K365" t="s">
        <v>33</v>
      </c>
      <c r="L365" t="str">
        <f t="shared" si="10"/>
        <v>May</v>
      </c>
      <c r="M365" t="str">
        <f t="shared" si="11"/>
        <v>Friday</v>
      </c>
    </row>
    <row r="366" spans="1:13">
      <c r="A366" t="s">
        <v>591</v>
      </c>
      <c r="B366" t="s">
        <v>152</v>
      </c>
      <c r="C366" t="s">
        <v>60</v>
      </c>
      <c r="D366" t="s">
        <v>61</v>
      </c>
      <c r="E366">
        <v>899</v>
      </c>
      <c r="F366">
        <v>5</v>
      </c>
      <c r="G366">
        <v>4495</v>
      </c>
      <c r="H366" t="s">
        <v>66</v>
      </c>
      <c r="I366" t="s">
        <v>24</v>
      </c>
      <c r="J366" t="s">
        <v>32</v>
      </c>
      <c r="K366" t="s">
        <v>45</v>
      </c>
      <c r="L366" t="str">
        <f t="shared" si="10"/>
        <v>Apr</v>
      </c>
      <c r="M366" t="str">
        <f t="shared" si="11"/>
        <v>Saturday</v>
      </c>
    </row>
    <row r="367" spans="1:13">
      <c r="A367" t="s">
        <v>592</v>
      </c>
      <c r="B367" t="s">
        <v>274</v>
      </c>
      <c r="C367" t="s">
        <v>60</v>
      </c>
      <c r="D367" t="s">
        <v>61</v>
      </c>
      <c r="E367">
        <v>899</v>
      </c>
      <c r="F367">
        <v>4</v>
      </c>
      <c r="G367">
        <v>3596</v>
      </c>
      <c r="H367" t="s">
        <v>30</v>
      </c>
      <c r="I367" t="s">
        <v>125</v>
      </c>
      <c r="J367" t="s">
        <v>17</v>
      </c>
      <c r="K367" t="s">
        <v>45</v>
      </c>
      <c r="L367" t="str">
        <f t="shared" si="10"/>
        <v>Mar</v>
      </c>
      <c r="M367" t="str">
        <f t="shared" si="11"/>
        <v>Sunday</v>
      </c>
    </row>
    <row r="368" spans="1:13">
      <c r="A368" t="s">
        <v>593</v>
      </c>
      <c r="B368" t="s">
        <v>361</v>
      </c>
      <c r="C368" t="s">
        <v>52</v>
      </c>
      <c r="D368" t="s">
        <v>53</v>
      </c>
      <c r="E368">
        <v>199</v>
      </c>
      <c r="F368">
        <v>3</v>
      </c>
      <c r="G368">
        <v>597</v>
      </c>
      <c r="H368" t="s">
        <v>62</v>
      </c>
      <c r="I368" t="s">
        <v>44</v>
      </c>
      <c r="J368" t="s">
        <v>32</v>
      </c>
      <c r="K368" t="s">
        <v>18</v>
      </c>
      <c r="L368" t="str">
        <f t="shared" si="10"/>
        <v>Feb</v>
      </c>
      <c r="M368" t="str">
        <f t="shared" si="11"/>
        <v>Tuesday</v>
      </c>
    </row>
    <row r="369" spans="1:13">
      <c r="A369" t="s">
        <v>594</v>
      </c>
      <c r="B369" t="s">
        <v>267</v>
      </c>
      <c r="C369" t="s">
        <v>80</v>
      </c>
      <c r="D369" t="s">
        <v>81</v>
      </c>
      <c r="E369">
        <v>299</v>
      </c>
      <c r="F369">
        <v>5</v>
      </c>
      <c r="G369">
        <v>1495</v>
      </c>
      <c r="H369" t="s">
        <v>30</v>
      </c>
      <c r="I369" t="s">
        <v>44</v>
      </c>
      <c r="J369" t="s">
        <v>38</v>
      </c>
      <c r="K369" t="s">
        <v>18</v>
      </c>
      <c r="L369" t="str">
        <f t="shared" si="10"/>
        <v>Mar</v>
      </c>
      <c r="M369" t="str">
        <f t="shared" si="11"/>
        <v>Saturday</v>
      </c>
    </row>
    <row r="370" spans="1:13">
      <c r="A370" t="s">
        <v>595</v>
      </c>
      <c r="B370" t="s">
        <v>267</v>
      </c>
      <c r="C370" t="s">
        <v>21</v>
      </c>
      <c r="D370" t="s">
        <v>22</v>
      </c>
      <c r="E370">
        <v>1499</v>
      </c>
      <c r="F370">
        <v>2</v>
      </c>
      <c r="G370">
        <v>2998</v>
      </c>
      <c r="H370" t="s">
        <v>23</v>
      </c>
      <c r="I370" t="s">
        <v>24</v>
      </c>
      <c r="J370" t="s">
        <v>38</v>
      </c>
      <c r="K370" t="s">
        <v>18</v>
      </c>
      <c r="L370" t="str">
        <f t="shared" si="10"/>
        <v>Mar</v>
      </c>
      <c r="M370" t="str">
        <f t="shared" si="11"/>
        <v>Saturday</v>
      </c>
    </row>
    <row r="371" spans="1:13">
      <c r="A371" t="s">
        <v>596</v>
      </c>
      <c r="B371" t="s">
        <v>215</v>
      </c>
      <c r="C371" t="s">
        <v>162</v>
      </c>
      <c r="D371" t="s">
        <v>29</v>
      </c>
      <c r="E371">
        <v>1799</v>
      </c>
      <c r="F371">
        <v>5</v>
      </c>
      <c r="G371">
        <v>8995</v>
      </c>
      <c r="H371" t="s">
        <v>102</v>
      </c>
      <c r="I371" t="s">
        <v>16</v>
      </c>
      <c r="J371" t="s">
        <v>25</v>
      </c>
      <c r="K371" t="s">
        <v>18</v>
      </c>
      <c r="L371" t="str">
        <f t="shared" si="10"/>
        <v>Jan</v>
      </c>
      <c r="M371" t="str">
        <f t="shared" si="11"/>
        <v>Saturday</v>
      </c>
    </row>
    <row r="372" spans="1:13">
      <c r="A372" t="s">
        <v>597</v>
      </c>
      <c r="B372" t="s">
        <v>598</v>
      </c>
      <c r="C372" t="s">
        <v>80</v>
      </c>
      <c r="D372" t="s">
        <v>81</v>
      </c>
      <c r="E372">
        <v>299</v>
      </c>
      <c r="F372">
        <v>3</v>
      </c>
      <c r="G372">
        <v>897</v>
      </c>
      <c r="H372" t="s">
        <v>43</v>
      </c>
      <c r="I372" t="s">
        <v>16</v>
      </c>
      <c r="J372" t="s">
        <v>25</v>
      </c>
      <c r="K372" t="s">
        <v>18</v>
      </c>
      <c r="L372" t="str">
        <f t="shared" si="10"/>
        <v>Jun</v>
      </c>
      <c r="M372" t="str">
        <f t="shared" si="11"/>
        <v>Thursday</v>
      </c>
    </row>
    <row r="373" spans="1:13">
      <c r="A373" t="s">
        <v>599</v>
      </c>
      <c r="B373" t="s">
        <v>600</v>
      </c>
      <c r="C373" t="s">
        <v>36</v>
      </c>
      <c r="D373" t="s">
        <v>29</v>
      </c>
      <c r="E373">
        <v>1999</v>
      </c>
      <c r="F373">
        <v>1</v>
      </c>
      <c r="G373">
        <v>1999</v>
      </c>
      <c r="H373" t="s">
        <v>71</v>
      </c>
      <c r="I373" t="s">
        <v>82</v>
      </c>
      <c r="J373" t="s">
        <v>25</v>
      </c>
      <c r="K373" t="s">
        <v>18</v>
      </c>
      <c r="L373" t="str">
        <f t="shared" si="10"/>
        <v>Feb</v>
      </c>
      <c r="M373" t="str">
        <f t="shared" si="11"/>
        <v>Saturday</v>
      </c>
    </row>
    <row r="374" spans="1:13">
      <c r="A374" t="s">
        <v>601</v>
      </c>
      <c r="B374" t="s">
        <v>343</v>
      </c>
      <c r="C374" t="s">
        <v>52</v>
      </c>
      <c r="D374" t="s">
        <v>53</v>
      </c>
      <c r="E374">
        <v>199</v>
      </c>
      <c r="F374">
        <v>2</v>
      </c>
      <c r="G374">
        <v>398</v>
      </c>
      <c r="H374" t="s">
        <v>30</v>
      </c>
      <c r="I374" t="s">
        <v>16</v>
      </c>
      <c r="J374" t="s">
        <v>32</v>
      </c>
      <c r="K374" t="s">
        <v>45</v>
      </c>
      <c r="L374" t="str">
        <f t="shared" si="10"/>
        <v>May</v>
      </c>
      <c r="M374" t="str">
        <f t="shared" si="11"/>
        <v>Friday</v>
      </c>
    </row>
    <row r="375" spans="1:13">
      <c r="A375" t="s">
        <v>602</v>
      </c>
      <c r="B375" t="s">
        <v>145</v>
      </c>
      <c r="C375" t="s">
        <v>36</v>
      </c>
      <c r="D375" t="s">
        <v>29</v>
      </c>
      <c r="E375">
        <v>1999</v>
      </c>
      <c r="F375">
        <v>5</v>
      </c>
      <c r="G375">
        <v>9995</v>
      </c>
      <c r="H375" t="s">
        <v>43</v>
      </c>
      <c r="I375" t="s">
        <v>57</v>
      </c>
      <c r="J375" t="s">
        <v>32</v>
      </c>
      <c r="K375" t="s">
        <v>18</v>
      </c>
      <c r="L375" t="str">
        <f t="shared" si="10"/>
        <v>Mar</v>
      </c>
      <c r="M375" t="str">
        <f t="shared" si="11"/>
        <v>Thursday</v>
      </c>
    </row>
    <row r="376" spans="1:13">
      <c r="A376" t="s">
        <v>603</v>
      </c>
      <c r="B376" t="s">
        <v>358</v>
      </c>
      <c r="C376" t="s">
        <v>87</v>
      </c>
      <c r="D376" t="s">
        <v>88</v>
      </c>
      <c r="E376">
        <v>5499</v>
      </c>
      <c r="F376">
        <v>1</v>
      </c>
      <c r="G376">
        <v>5499</v>
      </c>
      <c r="H376" t="s">
        <v>23</v>
      </c>
      <c r="I376" t="s">
        <v>82</v>
      </c>
      <c r="J376" t="s">
        <v>17</v>
      </c>
      <c r="K376" t="s">
        <v>18</v>
      </c>
      <c r="L376" t="str">
        <f t="shared" si="10"/>
        <v>Feb</v>
      </c>
      <c r="M376" t="str">
        <f t="shared" si="11"/>
        <v>Monday</v>
      </c>
    </row>
    <row r="377" spans="1:13">
      <c r="A377" t="s">
        <v>604</v>
      </c>
      <c r="B377" t="s">
        <v>210</v>
      </c>
      <c r="C377" t="s">
        <v>162</v>
      </c>
      <c r="D377" t="s">
        <v>29</v>
      </c>
      <c r="E377">
        <v>1799</v>
      </c>
      <c r="F377">
        <v>4</v>
      </c>
      <c r="G377">
        <v>7196</v>
      </c>
      <c r="H377" t="s">
        <v>102</v>
      </c>
      <c r="I377" t="s">
        <v>24</v>
      </c>
      <c r="J377" t="s">
        <v>25</v>
      </c>
      <c r="K377" t="s">
        <v>18</v>
      </c>
      <c r="L377" t="str">
        <f t="shared" si="10"/>
        <v>Apr</v>
      </c>
      <c r="M377" t="str">
        <f t="shared" si="11"/>
        <v>Wednesday</v>
      </c>
    </row>
    <row r="378" spans="1:13">
      <c r="A378" t="s">
        <v>605</v>
      </c>
      <c r="B378" t="s">
        <v>450</v>
      </c>
      <c r="C378" t="s">
        <v>21</v>
      </c>
      <c r="D378" t="s">
        <v>22</v>
      </c>
      <c r="E378">
        <v>1499</v>
      </c>
      <c r="F378">
        <v>2</v>
      </c>
      <c r="G378">
        <v>2998</v>
      </c>
      <c r="H378" t="s">
        <v>15</v>
      </c>
      <c r="I378" t="s">
        <v>82</v>
      </c>
      <c r="J378" t="s">
        <v>25</v>
      </c>
      <c r="K378" t="s">
        <v>33</v>
      </c>
      <c r="L378" t="str">
        <f t="shared" si="10"/>
        <v>Jan</v>
      </c>
      <c r="M378" t="str">
        <f t="shared" si="11"/>
        <v>Saturday</v>
      </c>
    </row>
    <row r="379" spans="1:13">
      <c r="A379" t="s">
        <v>606</v>
      </c>
      <c r="B379" t="s">
        <v>316</v>
      </c>
      <c r="C379" t="s">
        <v>76</v>
      </c>
      <c r="D379" t="s">
        <v>49</v>
      </c>
      <c r="E379">
        <v>1599</v>
      </c>
      <c r="F379">
        <v>2</v>
      </c>
      <c r="G379">
        <v>3198</v>
      </c>
      <c r="H379" t="s">
        <v>71</v>
      </c>
      <c r="I379" t="s">
        <v>105</v>
      </c>
      <c r="J379" t="s">
        <v>32</v>
      </c>
      <c r="K379" t="s">
        <v>18</v>
      </c>
      <c r="L379" t="str">
        <f t="shared" si="10"/>
        <v>Mar</v>
      </c>
      <c r="M379" t="str">
        <f t="shared" si="11"/>
        <v>Wednesday</v>
      </c>
    </row>
    <row r="380" spans="1:13">
      <c r="A380" t="s">
        <v>607</v>
      </c>
      <c r="B380" t="s">
        <v>86</v>
      </c>
      <c r="C380" t="s">
        <v>80</v>
      </c>
      <c r="D380" t="s">
        <v>81</v>
      </c>
      <c r="E380">
        <v>299</v>
      </c>
      <c r="F380">
        <v>4</v>
      </c>
      <c r="G380">
        <v>1196</v>
      </c>
      <c r="H380" t="s">
        <v>102</v>
      </c>
      <c r="I380" t="s">
        <v>44</v>
      </c>
      <c r="J380" t="s">
        <v>17</v>
      </c>
      <c r="K380" t="s">
        <v>18</v>
      </c>
      <c r="L380" t="str">
        <f t="shared" si="10"/>
        <v>May</v>
      </c>
      <c r="M380" t="str">
        <f t="shared" si="11"/>
        <v>Friday</v>
      </c>
    </row>
    <row r="381" spans="1:13">
      <c r="A381" t="s">
        <v>608</v>
      </c>
      <c r="B381" t="s">
        <v>65</v>
      </c>
      <c r="C381" t="s">
        <v>101</v>
      </c>
      <c r="D381" t="s">
        <v>81</v>
      </c>
      <c r="E381">
        <v>499</v>
      </c>
      <c r="F381">
        <v>1</v>
      </c>
      <c r="G381">
        <v>499</v>
      </c>
      <c r="H381" t="s">
        <v>56</v>
      </c>
      <c r="I381" t="s">
        <v>16</v>
      </c>
      <c r="J381" t="s">
        <v>17</v>
      </c>
      <c r="K381" t="s">
        <v>18</v>
      </c>
      <c r="L381" t="str">
        <f t="shared" si="10"/>
        <v>Jan</v>
      </c>
      <c r="M381" t="str">
        <f t="shared" si="11"/>
        <v>Thursday</v>
      </c>
    </row>
    <row r="382" spans="1:13">
      <c r="A382" t="s">
        <v>609</v>
      </c>
      <c r="B382" t="s">
        <v>250</v>
      </c>
      <c r="C382" t="s">
        <v>76</v>
      </c>
      <c r="D382" t="s">
        <v>49</v>
      </c>
      <c r="E382">
        <v>1599</v>
      </c>
      <c r="F382">
        <v>3</v>
      </c>
      <c r="G382">
        <v>4797</v>
      </c>
      <c r="H382" t="s">
        <v>56</v>
      </c>
      <c r="I382" t="s">
        <v>31</v>
      </c>
      <c r="J382" t="s">
        <v>17</v>
      </c>
      <c r="K382" t="s">
        <v>18</v>
      </c>
      <c r="L382" t="str">
        <f t="shared" si="10"/>
        <v>Jan</v>
      </c>
      <c r="M382" t="str">
        <f t="shared" si="11"/>
        <v>Thursday</v>
      </c>
    </row>
    <row r="383" spans="1:13">
      <c r="A383" t="s">
        <v>610</v>
      </c>
      <c r="B383" t="s">
        <v>42</v>
      </c>
      <c r="C383" t="s">
        <v>80</v>
      </c>
      <c r="D383" t="s">
        <v>81</v>
      </c>
      <c r="E383">
        <v>299</v>
      </c>
      <c r="F383">
        <v>3</v>
      </c>
      <c r="G383">
        <v>897</v>
      </c>
      <c r="H383" t="s">
        <v>102</v>
      </c>
      <c r="I383" t="s">
        <v>82</v>
      </c>
      <c r="J383" t="s">
        <v>38</v>
      </c>
      <c r="K383" t="s">
        <v>18</v>
      </c>
      <c r="L383" t="str">
        <f t="shared" si="10"/>
        <v>Mar</v>
      </c>
      <c r="M383" t="str">
        <f t="shared" si="11"/>
        <v>Wednesday</v>
      </c>
    </row>
    <row r="384" spans="1:13">
      <c r="A384" t="s">
        <v>611</v>
      </c>
      <c r="B384" t="s">
        <v>75</v>
      </c>
      <c r="C384" t="s">
        <v>76</v>
      </c>
      <c r="D384" t="s">
        <v>49</v>
      </c>
      <c r="E384">
        <v>1599</v>
      </c>
      <c r="F384">
        <v>5</v>
      </c>
      <c r="G384">
        <v>7995</v>
      </c>
      <c r="H384" t="s">
        <v>37</v>
      </c>
      <c r="I384" t="s">
        <v>67</v>
      </c>
      <c r="J384" t="s">
        <v>32</v>
      </c>
      <c r="K384" t="s">
        <v>18</v>
      </c>
      <c r="L384" t="str">
        <f t="shared" si="10"/>
        <v>Jun</v>
      </c>
      <c r="M384" t="str">
        <f t="shared" si="11"/>
        <v>Thursday</v>
      </c>
    </row>
    <row r="385" spans="1:13">
      <c r="A385" t="s">
        <v>612</v>
      </c>
      <c r="B385" t="s">
        <v>613</v>
      </c>
      <c r="C385" t="s">
        <v>135</v>
      </c>
      <c r="D385" t="s">
        <v>29</v>
      </c>
      <c r="E385">
        <v>3999</v>
      </c>
      <c r="F385">
        <v>5</v>
      </c>
      <c r="G385">
        <v>19995</v>
      </c>
      <c r="H385" t="s">
        <v>71</v>
      </c>
      <c r="I385" t="s">
        <v>57</v>
      </c>
      <c r="J385" t="s">
        <v>38</v>
      </c>
      <c r="K385" t="s">
        <v>18</v>
      </c>
      <c r="L385" t="str">
        <f t="shared" si="10"/>
        <v>Feb</v>
      </c>
      <c r="M385" t="str">
        <f t="shared" si="11"/>
        <v>Tuesday</v>
      </c>
    </row>
    <row r="386" spans="1:13">
      <c r="A386" t="s">
        <v>614</v>
      </c>
      <c r="B386" t="s">
        <v>379</v>
      </c>
      <c r="C386" t="s">
        <v>122</v>
      </c>
      <c r="D386" t="s">
        <v>29</v>
      </c>
      <c r="E386">
        <v>1299</v>
      </c>
      <c r="F386">
        <v>1</v>
      </c>
      <c r="G386">
        <v>1299</v>
      </c>
      <c r="H386" t="s">
        <v>37</v>
      </c>
      <c r="I386" t="s">
        <v>67</v>
      </c>
      <c r="J386" t="s">
        <v>38</v>
      </c>
      <c r="K386" t="s">
        <v>18</v>
      </c>
      <c r="L386" t="str">
        <f t="shared" si="10"/>
        <v>Jun</v>
      </c>
      <c r="M386" t="str">
        <f t="shared" si="11"/>
        <v>Friday</v>
      </c>
    </row>
    <row r="387" spans="1:13">
      <c r="A387" t="s">
        <v>615</v>
      </c>
      <c r="B387" t="s">
        <v>143</v>
      </c>
      <c r="C387" t="s">
        <v>13</v>
      </c>
      <c r="D387" t="s">
        <v>14</v>
      </c>
      <c r="E387">
        <v>2499</v>
      </c>
      <c r="F387">
        <v>3</v>
      </c>
      <c r="G387">
        <v>7497</v>
      </c>
      <c r="H387" t="s">
        <v>37</v>
      </c>
      <c r="I387" t="s">
        <v>82</v>
      </c>
      <c r="J387" t="s">
        <v>25</v>
      </c>
      <c r="K387" t="s">
        <v>45</v>
      </c>
      <c r="L387" t="str">
        <f t="shared" ref="L387:L450" si="12">TEXT(B387,"MMM")</f>
        <v>Mar</v>
      </c>
      <c r="M387" t="str">
        <f t="shared" ref="M387:M450" si="13">TEXT(B387,"dddd")</f>
        <v>Tuesday</v>
      </c>
    </row>
    <row r="388" spans="1:13">
      <c r="A388" t="s">
        <v>616</v>
      </c>
      <c r="B388" t="s">
        <v>260</v>
      </c>
      <c r="C388" t="s">
        <v>36</v>
      </c>
      <c r="D388" t="s">
        <v>29</v>
      </c>
      <c r="E388">
        <v>1999</v>
      </c>
      <c r="F388">
        <v>2</v>
      </c>
      <c r="G388">
        <v>3998</v>
      </c>
      <c r="H388" t="s">
        <v>66</v>
      </c>
      <c r="I388" t="s">
        <v>98</v>
      </c>
      <c r="J388" t="s">
        <v>25</v>
      </c>
      <c r="K388" t="s">
        <v>45</v>
      </c>
      <c r="L388" t="str">
        <f t="shared" si="12"/>
        <v>Jun</v>
      </c>
      <c r="M388" t="str">
        <f t="shared" si="13"/>
        <v>Wednesday</v>
      </c>
    </row>
    <row r="389" spans="1:13">
      <c r="A389" t="s">
        <v>617</v>
      </c>
      <c r="B389" t="s">
        <v>354</v>
      </c>
      <c r="C389" t="s">
        <v>162</v>
      </c>
      <c r="D389" t="s">
        <v>29</v>
      </c>
      <c r="E389">
        <v>1799</v>
      </c>
      <c r="F389">
        <v>1</v>
      </c>
      <c r="G389">
        <v>1799</v>
      </c>
      <c r="H389" t="s">
        <v>186</v>
      </c>
      <c r="I389" t="s">
        <v>63</v>
      </c>
      <c r="J389" t="s">
        <v>32</v>
      </c>
      <c r="K389" t="s">
        <v>18</v>
      </c>
      <c r="L389" t="str">
        <f t="shared" si="12"/>
        <v>May</v>
      </c>
      <c r="M389" t="str">
        <f t="shared" si="13"/>
        <v>Monday</v>
      </c>
    </row>
    <row r="390" spans="1:13">
      <c r="A390" t="s">
        <v>618</v>
      </c>
      <c r="B390" t="s">
        <v>389</v>
      </c>
      <c r="C390" t="s">
        <v>60</v>
      </c>
      <c r="D390" t="s">
        <v>61</v>
      </c>
      <c r="E390">
        <v>899</v>
      </c>
      <c r="F390">
        <v>5</v>
      </c>
      <c r="G390">
        <v>4495</v>
      </c>
      <c r="H390" t="s">
        <v>95</v>
      </c>
      <c r="I390" t="s">
        <v>24</v>
      </c>
      <c r="J390" t="s">
        <v>17</v>
      </c>
      <c r="K390" t="s">
        <v>18</v>
      </c>
      <c r="L390" t="str">
        <f t="shared" si="12"/>
        <v>Jun</v>
      </c>
      <c r="M390" t="str">
        <f t="shared" si="13"/>
        <v>Tuesday</v>
      </c>
    </row>
    <row r="391" spans="1:13">
      <c r="A391" t="s">
        <v>619</v>
      </c>
      <c r="B391" t="s">
        <v>111</v>
      </c>
      <c r="C391" t="s">
        <v>13</v>
      </c>
      <c r="D391" t="s">
        <v>14</v>
      </c>
      <c r="E391">
        <v>2499</v>
      </c>
      <c r="F391">
        <v>2</v>
      </c>
      <c r="G391">
        <v>4998</v>
      </c>
      <c r="H391" t="s">
        <v>30</v>
      </c>
      <c r="I391" t="s">
        <v>63</v>
      </c>
      <c r="J391" t="s">
        <v>25</v>
      </c>
      <c r="K391" t="s">
        <v>45</v>
      </c>
      <c r="L391" t="str">
        <f t="shared" si="12"/>
        <v>Apr</v>
      </c>
      <c r="M391" t="str">
        <f t="shared" si="13"/>
        <v>Sunday</v>
      </c>
    </row>
    <row r="392" spans="1:13">
      <c r="A392" t="s">
        <v>620</v>
      </c>
      <c r="B392" t="s">
        <v>431</v>
      </c>
      <c r="C392" t="s">
        <v>52</v>
      </c>
      <c r="D392" t="s">
        <v>53</v>
      </c>
      <c r="E392">
        <v>199</v>
      </c>
      <c r="F392">
        <v>1</v>
      </c>
      <c r="G392">
        <v>199</v>
      </c>
      <c r="H392" t="s">
        <v>95</v>
      </c>
      <c r="I392" t="s">
        <v>31</v>
      </c>
      <c r="J392" t="s">
        <v>90</v>
      </c>
      <c r="K392" t="s">
        <v>18</v>
      </c>
      <c r="L392" t="str">
        <f t="shared" si="12"/>
        <v>Feb</v>
      </c>
      <c r="M392" t="str">
        <f t="shared" si="13"/>
        <v>Thursday</v>
      </c>
    </row>
    <row r="393" spans="1:13">
      <c r="A393" t="s">
        <v>621</v>
      </c>
      <c r="B393" t="s">
        <v>389</v>
      </c>
      <c r="C393" t="s">
        <v>48</v>
      </c>
      <c r="D393" t="s">
        <v>49</v>
      </c>
      <c r="E393">
        <v>699</v>
      </c>
      <c r="F393">
        <v>4</v>
      </c>
      <c r="G393">
        <v>2796</v>
      </c>
      <c r="H393" t="s">
        <v>157</v>
      </c>
      <c r="I393" t="s">
        <v>98</v>
      </c>
      <c r="J393" t="s">
        <v>90</v>
      </c>
      <c r="K393" t="s">
        <v>18</v>
      </c>
      <c r="L393" t="str">
        <f t="shared" si="12"/>
        <v>Jun</v>
      </c>
      <c r="M393" t="str">
        <f t="shared" si="13"/>
        <v>Tuesday</v>
      </c>
    </row>
    <row r="394" spans="1:13">
      <c r="A394" t="s">
        <v>622</v>
      </c>
      <c r="B394" t="s">
        <v>159</v>
      </c>
      <c r="C394" t="s">
        <v>28</v>
      </c>
      <c r="D394" t="s">
        <v>29</v>
      </c>
      <c r="E394">
        <v>1299</v>
      </c>
      <c r="F394">
        <v>3</v>
      </c>
      <c r="G394">
        <v>3897</v>
      </c>
      <c r="H394" t="s">
        <v>157</v>
      </c>
      <c r="I394" t="s">
        <v>105</v>
      </c>
      <c r="J394" t="s">
        <v>17</v>
      </c>
      <c r="K394" t="s">
        <v>18</v>
      </c>
      <c r="L394" t="str">
        <f t="shared" si="12"/>
        <v>Apr</v>
      </c>
      <c r="M394" t="str">
        <f t="shared" si="13"/>
        <v>Thursday</v>
      </c>
    </row>
    <row r="395" spans="1:13">
      <c r="A395" t="s">
        <v>623</v>
      </c>
      <c r="B395" t="s">
        <v>587</v>
      </c>
      <c r="C395" t="s">
        <v>21</v>
      </c>
      <c r="D395" t="s">
        <v>22</v>
      </c>
      <c r="E395">
        <v>1499</v>
      </c>
      <c r="F395">
        <v>3</v>
      </c>
      <c r="G395">
        <v>4497</v>
      </c>
      <c r="H395" t="s">
        <v>102</v>
      </c>
      <c r="I395" t="s">
        <v>105</v>
      </c>
      <c r="J395" t="s">
        <v>25</v>
      </c>
      <c r="K395" t="s">
        <v>45</v>
      </c>
      <c r="L395" t="str">
        <f t="shared" si="12"/>
        <v>Jun</v>
      </c>
      <c r="M395" t="str">
        <f t="shared" si="13"/>
        <v>Monday</v>
      </c>
    </row>
    <row r="396" spans="1:13">
      <c r="A396" t="s">
        <v>624</v>
      </c>
      <c r="B396" t="s">
        <v>189</v>
      </c>
      <c r="C396" t="s">
        <v>48</v>
      </c>
      <c r="D396" t="s">
        <v>49</v>
      </c>
      <c r="E396">
        <v>699</v>
      </c>
      <c r="F396">
        <v>5</v>
      </c>
      <c r="G396">
        <v>3495</v>
      </c>
      <c r="H396" t="s">
        <v>15</v>
      </c>
      <c r="I396" t="s">
        <v>24</v>
      </c>
      <c r="J396" t="s">
        <v>25</v>
      </c>
      <c r="K396" t="s">
        <v>18</v>
      </c>
      <c r="L396" t="str">
        <f t="shared" si="12"/>
        <v>Apr</v>
      </c>
      <c r="M396" t="str">
        <f t="shared" si="13"/>
        <v>Sunday</v>
      </c>
    </row>
    <row r="397" spans="1:13">
      <c r="A397" t="s">
        <v>625</v>
      </c>
      <c r="B397" t="s">
        <v>143</v>
      </c>
      <c r="C397" t="s">
        <v>135</v>
      </c>
      <c r="D397" t="s">
        <v>29</v>
      </c>
      <c r="E397">
        <v>3999</v>
      </c>
      <c r="F397">
        <v>5</v>
      </c>
      <c r="G397">
        <v>19995</v>
      </c>
      <c r="H397" t="s">
        <v>95</v>
      </c>
      <c r="I397" t="s">
        <v>63</v>
      </c>
      <c r="J397" t="s">
        <v>17</v>
      </c>
      <c r="K397" t="s">
        <v>18</v>
      </c>
      <c r="L397" t="str">
        <f t="shared" si="12"/>
        <v>Mar</v>
      </c>
      <c r="M397" t="str">
        <f t="shared" si="13"/>
        <v>Tuesday</v>
      </c>
    </row>
    <row r="398" spans="1:13">
      <c r="A398" t="s">
        <v>626</v>
      </c>
      <c r="B398" t="s">
        <v>598</v>
      </c>
      <c r="C398" t="s">
        <v>28</v>
      </c>
      <c r="D398" t="s">
        <v>29</v>
      </c>
      <c r="E398">
        <v>1299</v>
      </c>
      <c r="F398">
        <v>2</v>
      </c>
      <c r="G398">
        <v>2598</v>
      </c>
      <c r="H398" t="s">
        <v>37</v>
      </c>
      <c r="I398" t="s">
        <v>67</v>
      </c>
      <c r="J398" t="s">
        <v>17</v>
      </c>
      <c r="K398" t="s">
        <v>18</v>
      </c>
      <c r="L398" t="str">
        <f t="shared" si="12"/>
        <v>Jun</v>
      </c>
      <c r="M398" t="str">
        <f t="shared" si="13"/>
        <v>Thursday</v>
      </c>
    </row>
    <row r="399" spans="1:13">
      <c r="A399" t="s">
        <v>627</v>
      </c>
      <c r="B399" t="s">
        <v>210</v>
      </c>
      <c r="C399" t="s">
        <v>101</v>
      </c>
      <c r="D399" t="s">
        <v>81</v>
      </c>
      <c r="E399">
        <v>499</v>
      </c>
      <c r="F399">
        <v>2</v>
      </c>
      <c r="G399">
        <v>998</v>
      </c>
      <c r="H399" t="s">
        <v>62</v>
      </c>
      <c r="I399" t="s">
        <v>125</v>
      </c>
      <c r="J399" t="s">
        <v>25</v>
      </c>
      <c r="K399" t="s">
        <v>18</v>
      </c>
      <c r="L399" t="str">
        <f t="shared" si="12"/>
        <v>Apr</v>
      </c>
      <c r="M399" t="str">
        <f t="shared" si="13"/>
        <v>Wednesday</v>
      </c>
    </row>
    <row r="400" spans="1:13">
      <c r="A400" t="s">
        <v>628</v>
      </c>
      <c r="B400" t="s">
        <v>517</v>
      </c>
      <c r="C400" t="s">
        <v>76</v>
      </c>
      <c r="D400" t="s">
        <v>49</v>
      </c>
      <c r="E400">
        <v>1599</v>
      </c>
      <c r="F400">
        <v>4</v>
      </c>
      <c r="G400">
        <v>6396</v>
      </c>
      <c r="H400" t="s">
        <v>37</v>
      </c>
      <c r="I400" t="s">
        <v>77</v>
      </c>
      <c r="J400" t="s">
        <v>90</v>
      </c>
      <c r="K400" t="s">
        <v>18</v>
      </c>
      <c r="L400" t="str">
        <f t="shared" si="12"/>
        <v>Mar</v>
      </c>
      <c r="M400" t="str">
        <f t="shared" si="13"/>
        <v>Sunday</v>
      </c>
    </row>
    <row r="401" spans="1:13">
      <c r="A401" t="s">
        <v>629</v>
      </c>
      <c r="B401" t="s">
        <v>630</v>
      </c>
      <c r="C401" t="s">
        <v>101</v>
      </c>
      <c r="D401" t="s">
        <v>81</v>
      </c>
      <c r="E401">
        <v>499</v>
      </c>
      <c r="F401">
        <v>4</v>
      </c>
      <c r="G401">
        <v>1996</v>
      </c>
      <c r="H401" t="s">
        <v>23</v>
      </c>
      <c r="I401" t="s">
        <v>31</v>
      </c>
      <c r="J401" t="s">
        <v>32</v>
      </c>
      <c r="K401" t="s">
        <v>33</v>
      </c>
      <c r="L401" t="str">
        <f t="shared" si="12"/>
        <v>Jan</v>
      </c>
      <c r="M401" t="str">
        <f t="shared" si="13"/>
        <v>Monday</v>
      </c>
    </row>
    <row r="402" spans="1:13">
      <c r="A402" t="s">
        <v>631</v>
      </c>
      <c r="B402" t="s">
        <v>47</v>
      </c>
      <c r="C402" t="s">
        <v>70</v>
      </c>
      <c r="D402" t="s">
        <v>29</v>
      </c>
      <c r="E402">
        <v>799</v>
      </c>
      <c r="F402">
        <v>3</v>
      </c>
      <c r="G402">
        <v>2397</v>
      </c>
      <c r="H402" t="s">
        <v>89</v>
      </c>
      <c r="I402" t="s">
        <v>125</v>
      </c>
      <c r="J402" t="s">
        <v>90</v>
      </c>
      <c r="K402" t="s">
        <v>18</v>
      </c>
      <c r="L402" t="str">
        <f t="shared" si="12"/>
        <v>Jun</v>
      </c>
      <c r="M402" t="str">
        <f t="shared" si="13"/>
        <v>Wednesday</v>
      </c>
    </row>
    <row r="403" spans="1:13">
      <c r="A403" t="s">
        <v>632</v>
      </c>
      <c r="B403" t="s">
        <v>633</v>
      </c>
      <c r="C403" t="s">
        <v>52</v>
      </c>
      <c r="D403" t="s">
        <v>53</v>
      </c>
      <c r="E403">
        <v>199</v>
      </c>
      <c r="F403">
        <v>1</v>
      </c>
      <c r="G403">
        <v>199</v>
      </c>
      <c r="H403" t="s">
        <v>102</v>
      </c>
      <c r="I403" t="s">
        <v>67</v>
      </c>
      <c r="J403" t="s">
        <v>17</v>
      </c>
      <c r="K403" t="s">
        <v>18</v>
      </c>
      <c r="L403" t="str">
        <f t="shared" si="12"/>
        <v>Jun</v>
      </c>
      <c r="M403" t="str">
        <f t="shared" si="13"/>
        <v>Saturday</v>
      </c>
    </row>
    <row r="404" spans="1:13">
      <c r="A404" t="s">
        <v>634</v>
      </c>
      <c r="B404" t="s">
        <v>633</v>
      </c>
      <c r="C404" t="s">
        <v>36</v>
      </c>
      <c r="D404" t="s">
        <v>29</v>
      </c>
      <c r="E404">
        <v>1999</v>
      </c>
      <c r="F404">
        <v>3</v>
      </c>
      <c r="G404">
        <v>5997</v>
      </c>
      <c r="H404" t="s">
        <v>43</v>
      </c>
      <c r="I404" t="s">
        <v>105</v>
      </c>
      <c r="J404" t="s">
        <v>90</v>
      </c>
      <c r="K404" t="s">
        <v>18</v>
      </c>
      <c r="L404" t="str">
        <f t="shared" si="12"/>
        <v>Jun</v>
      </c>
      <c r="M404" t="str">
        <f t="shared" si="13"/>
        <v>Saturday</v>
      </c>
    </row>
    <row r="405" spans="1:13">
      <c r="A405" t="s">
        <v>635</v>
      </c>
      <c r="B405" t="s">
        <v>379</v>
      </c>
      <c r="C405" t="s">
        <v>80</v>
      </c>
      <c r="D405" t="s">
        <v>81</v>
      </c>
      <c r="E405">
        <v>299</v>
      </c>
      <c r="F405">
        <v>2</v>
      </c>
      <c r="G405">
        <v>598</v>
      </c>
      <c r="H405" t="s">
        <v>89</v>
      </c>
      <c r="I405" t="s">
        <v>125</v>
      </c>
      <c r="J405" t="s">
        <v>32</v>
      </c>
      <c r="K405" t="s">
        <v>18</v>
      </c>
      <c r="L405" t="str">
        <f t="shared" si="12"/>
        <v>Jun</v>
      </c>
      <c r="M405" t="str">
        <f t="shared" si="13"/>
        <v>Friday</v>
      </c>
    </row>
    <row r="406" spans="1:13">
      <c r="A406" t="s">
        <v>636</v>
      </c>
      <c r="B406" t="s">
        <v>250</v>
      </c>
      <c r="C406" t="s">
        <v>28</v>
      </c>
      <c r="D406" t="s">
        <v>29</v>
      </c>
      <c r="E406">
        <v>1299</v>
      </c>
      <c r="F406">
        <v>5</v>
      </c>
      <c r="G406">
        <v>6495</v>
      </c>
      <c r="H406" t="s">
        <v>56</v>
      </c>
      <c r="I406" t="s">
        <v>105</v>
      </c>
      <c r="J406" t="s">
        <v>25</v>
      </c>
      <c r="K406" t="s">
        <v>33</v>
      </c>
      <c r="L406" t="str">
        <f t="shared" si="12"/>
        <v>Jan</v>
      </c>
      <c r="M406" t="str">
        <f t="shared" si="13"/>
        <v>Thursday</v>
      </c>
    </row>
    <row r="407" spans="1:13">
      <c r="A407" t="s">
        <v>637</v>
      </c>
      <c r="B407" t="s">
        <v>269</v>
      </c>
      <c r="C407" t="s">
        <v>122</v>
      </c>
      <c r="D407" t="s">
        <v>29</v>
      </c>
      <c r="E407">
        <v>1299</v>
      </c>
      <c r="F407">
        <v>1</v>
      </c>
      <c r="G407">
        <v>1299</v>
      </c>
      <c r="H407" t="s">
        <v>30</v>
      </c>
      <c r="I407" t="s">
        <v>63</v>
      </c>
      <c r="J407" t="s">
        <v>17</v>
      </c>
      <c r="K407" t="s">
        <v>33</v>
      </c>
      <c r="L407" t="str">
        <f t="shared" si="12"/>
        <v>Jan</v>
      </c>
      <c r="M407" t="str">
        <f t="shared" si="13"/>
        <v>Saturday</v>
      </c>
    </row>
    <row r="408" spans="1:13">
      <c r="A408" t="s">
        <v>638</v>
      </c>
      <c r="B408" t="s">
        <v>423</v>
      </c>
      <c r="C408" t="s">
        <v>135</v>
      </c>
      <c r="D408" t="s">
        <v>29</v>
      </c>
      <c r="E408">
        <v>3999</v>
      </c>
      <c r="F408">
        <v>2</v>
      </c>
      <c r="G408">
        <v>7998</v>
      </c>
      <c r="H408" t="s">
        <v>119</v>
      </c>
      <c r="I408" t="s">
        <v>98</v>
      </c>
      <c r="J408" t="s">
        <v>17</v>
      </c>
      <c r="K408" t="s">
        <v>18</v>
      </c>
      <c r="L408" t="str">
        <f t="shared" si="12"/>
        <v>Apr</v>
      </c>
      <c r="M408" t="str">
        <f t="shared" si="13"/>
        <v>Tuesday</v>
      </c>
    </row>
    <row r="409" spans="1:13">
      <c r="A409" t="s">
        <v>639</v>
      </c>
      <c r="B409" t="s">
        <v>640</v>
      </c>
      <c r="C409" t="s">
        <v>76</v>
      </c>
      <c r="D409" t="s">
        <v>49</v>
      </c>
      <c r="E409">
        <v>1599</v>
      </c>
      <c r="F409">
        <v>5</v>
      </c>
      <c r="G409">
        <v>7995</v>
      </c>
      <c r="H409" t="s">
        <v>71</v>
      </c>
      <c r="I409" t="s">
        <v>44</v>
      </c>
      <c r="J409" t="s">
        <v>17</v>
      </c>
      <c r="K409" t="s">
        <v>18</v>
      </c>
      <c r="L409" t="str">
        <f t="shared" si="12"/>
        <v>May</v>
      </c>
      <c r="M409" t="str">
        <f t="shared" si="13"/>
        <v>Monday</v>
      </c>
    </row>
    <row r="410" spans="1:13">
      <c r="A410" t="s">
        <v>641</v>
      </c>
      <c r="B410" t="s">
        <v>303</v>
      </c>
      <c r="C410" t="s">
        <v>52</v>
      </c>
      <c r="D410" t="s">
        <v>53</v>
      </c>
      <c r="E410">
        <v>199</v>
      </c>
      <c r="F410">
        <v>3</v>
      </c>
      <c r="G410">
        <v>597</v>
      </c>
      <c r="H410" t="s">
        <v>43</v>
      </c>
      <c r="I410" t="s">
        <v>63</v>
      </c>
      <c r="J410" t="s">
        <v>38</v>
      </c>
      <c r="K410" t="s">
        <v>33</v>
      </c>
      <c r="L410" t="str">
        <f t="shared" si="12"/>
        <v>Jun</v>
      </c>
      <c r="M410" t="str">
        <f t="shared" si="13"/>
        <v>Tuesday</v>
      </c>
    </row>
    <row r="411" spans="1:13">
      <c r="A411" t="s">
        <v>642</v>
      </c>
      <c r="B411" t="s">
        <v>381</v>
      </c>
      <c r="C411" t="s">
        <v>28</v>
      </c>
      <c r="D411" t="s">
        <v>29</v>
      </c>
      <c r="E411">
        <v>1299</v>
      </c>
      <c r="F411">
        <v>5</v>
      </c>
      <c r="G411">
        <v>6495</v>
      </c>
      <c r="H411" t="s">
        <v>186</v>
      </c>
      <c r="I411" t="s">
        <v>67</v>
      </c>
      <c r="J411" t="s">
        <v>25</v>
      </c>
      <c r="K411" t="s">
        <v>45</v>
      </c>
      <c r="L411" t="str">
        <f t="shared" si="12"/>
        <v>Apr</v>
      </c>
      <c r="M411" t="str">
        <f t="shared" si="13"/>
        <v>Thursday</v>
      </c>
    </row>
    <row r="412" spans="1:13">
      <c r="A412" t="s">
        <v>643</v>
      </c>
      <c r="B412" t="s">
        <v>272</v>
      </c>
      <c r="C412" t="s">
        <v>135</v>
      </c>
      <c r="D412" t="s">
        <v>29</v>
      </c>
      <c r="E412">
        <v>3999</v>
      </c>
      <c r="F412">
        <v>2</v>
      </c>
      <c r="G412">
        <v>7998</v>
      </c>
      <c r="H412" t="s">
        <v>37</v>
      </c>
      <c r="I412" t="s">
        <v>77</v>
      </c>
      <c r="J412" t="s">
        <v>32</v>
      </c>
      <c r="K412" t="s">
        <v>18</v>
      </c>
      <c r="L412" t="str">
        <f t="shared" si="12"/>
        <v>Feb</v>
      </c>
      <c r="M412" t="str">
        <f t="shared" si="13"/>
        <v>Monday</v>
      </c>
    </row>
    <row r="413" spans="1:13">
      <c r="A413" t="s">
        <v>644</v>
      </c>
      <c r="B413" t="s">
        <v>408</v>
      </c>
      <c r="C413" t="s">
        <v>52</v>
      </c>
      <c r="D413" t="s">
        <v>53</v>
      </c>
      <c r="E413">
        <v>199</v>
      </c>
      <c r="F413">
        <v>4</v>
      </c>
      <c r="G413">
        <v>796</v>
      </c>
      <c r="H413" t="s">
        <v>43</v>
      </c>
      <c r="I413" t="s">
        <v>98</v>
      </c>
      <c r="J413" t="s">
        <v>32</v>
      </c>
      <c r="K413" t="s">
        <v>18</v>
      </c>
      <c r="L413" t="str">
        <f t="shared" si="12"/>
        <v>Mar</v>
      </c>
      <c r="M413" t="str">
        <f t="shared" si="13"/>
        <v>Monday</v>
      </c>
    </row>
    <row r="414" spans="1:13">
      <c r="A414" t="s">
        <v>645</v>
      </c>
      <c r="B414" t="s">
        <v>281</v>
      </c>
      <c r="C414" t="s">
        <v>76</v>
      </c>
      <c r="D414" t="s">
        <v>49</v>
      </c>
      <c r="E414">
        <v>1599</v>
      </c>
      <c r="F414">
        <v>5</v>
      </c>
      <c r="G414">
        <v>7995</v>
      </c>
      <c r="H414" t="s">
        <v>95</v>
      </c>
      <c r="I414" t="s">
        <v>16</v>
      </c>
      <c r="J414" t="s">
        <v>90</v>
      </c>
      <c r="K414" t="s">
        <v>33</v>
      </c>
      <c r="L414" t="str">
        <f t="shared" si="12"/>
        <v>Apr</v>
      </c>
      <c r="M414" t="str">
        <f t="shared" si="13"/>
        <v>Saturday</v>
      </c>
    </row>
    <row r="415" spans="1:13">
      <c r="A415" t="s">
        <v>646</v>
      </c>
      <c r="B415" t="s">
        <v>402</v>
      </c>
      <c r="C415" t="s">
        <v>13</v>
      </c>
      <c r="D415" t="s">
        <v>14</v>
      </c>
      <c r="E415">
        <v>2499</v>
      </c>
      <c r="F415">
        <v>3</v>
      </c>
      <c r="G415">
        <v>7497</v>
      </c>
      <c r="H415" t="s">
        <v>66</v>
      </c>
      <c r="I415" t="s">
        <v>67</v>
      </c>
      <c r="J415" t="s">
        <v>32</v>
      </c>
      <c r="K415" t="s">
        <v>18</v>
      </c>
      <c r="L415" t="str">
        <f t="shared" si="12"/>
        <v>Jun</v>
      </c>
      <c r="M415" t="str">
        <f t="shared" si="13"/>
        <v>Friday</v>
      </c>
    </row>
    <row r="416" spans="1:13">
      <c r="A416" t="s">
        <v>647</v>
      </c>
      <c r="B416" t="s">
        <v>457</v>
      </c>
      <c r="C416" t="s">
        <v>60</v>
      </c>
      <c r="D416" t="s">
        <v>61</v>
      </c>
      <c r="E416">
        <v>899</v>
      </c>
      <c r="F416">
        <v>1</v>
      </c>
      <c r="G416">
        <v>899</v>
      </c>
      <c r="H416" t="s">
        <v>95</v>
      </c>
      <c r="I416" t="s">
        <v>44</v>
      </c>
      <c r="J416" t="s">
        <v>32</v>
      </c>
      <c r="K416" t="s">
        <v>33</v>
      </c>
      <c r="L416" t="str">
        <f t="shared" si="12"/>
        <v>Apr</v>
      </c>
      <c r="M416" t="str">
        <f t="shared" si="13"/>
        <v>Tuesday</v>
      </c>
    </row>
    <row r="417" spans="1:13">
      <c r="A417" t="s">
        <v>648</v>
      </c>
      <c r="B417" t="s">
        <v>207</v>
      </c>
      <c r="C417" t="s">
        <v>87</v>
      </c>
      <c r="D417" t="s">
        <v>88</v>
      </c>
      <c r="E417">
        <v>5499</v>
      </c>
      <c r="F417">
        <v>3</v>
      </c>
      <c r="G417">
        <v>16497</v>
      </c>
      <c r="H417" t="s">
        <v>119</v>
      </c>
      <c r="I417" t="s">
        <v>24</v>
      </c>
      <c r="J417" t="s">
        <v>38</v>
      </c>
      <c r="K417" t="s">
        <v>45</v>
      </c>
      <c r="L417" t="str">
        <f t="shared" si="12"/>
        <v>Feb</v>
      </c>
      <c r="M417" t="str">
        <f t="shared" si="13"/>
        <v>Monday</v>
      </c>
    </row>
    <row r="418" spans="1:13">
      <c r="A418" t="s">
        <v>649</v>
      </c>
      <c r="B418" t="s">
        <v>512</v>
      </c>
      <c r="C418" t="s">
        <v>48</v>
      </c>
      <c r="D418" t="s">
        <v>49</v>
      </c>
      <c r="E418">
        <v>699</v>
      </c>
      <c r="F418">
        <v>3</v>
      </c>
      <c r="G418">
        <v>2097</v>
      </c>
      <c r="H418" t="s">
        <v>102</v>
      </c>
      <c r="I418" t="s">
        <v>57</v>
      </c>
      <c r="J418" t="s">
        <v>25</v>
      </c>
      <c r="K418" t="s">
        <v>45</v>
      </c>
      <c r="L418" t="str">
        <f t="shared" si="12"/>
        <v>Mar</v>
      </c>
      <c r="M418" t="str">
        <f t="shared" si="13"/>
        <v>Wednesday</v>
      </c>
    </row>
    <row r="419" spans="1:13">
      <c r="A419" t="s">
        <v>650</v>
      </c>
      <c r="B419" t="s">
        <v>281</v>
      </c>
      <c r="C419" t="s">
        <v>52</v>
      </c>
      <c r="D419" t="s">
        <v>53</v>
      </c>
      <c r="E419">
        <v>199</v>
      </c>
      <c r="F419">
        <v>2</v>
      </c>
      <c r="G419">
        <v>398</v>
      </c>
      <c r="H419" t="s">
        <v>56</v>
      </c>
      <c r="I419" t="s">
        <v>63</v>
      </c>
      <c r="J419" t="s">
        <v>17</v>
      </c>
      <c r="K419" t="s">
        <v>45</v>
      </c>
      <c r="L419" t="str">
        <f t="shared" si="12"/>
        <v>Apr</v>
      </c>
      <c r="M419" t="str">
        <f t="shared" si="13"/>
        <v>Saturday</v>
      </c>
    </row>
    <row r="420" spans="1:13">
      <c r="A420" t="s">
        <v>651</v>
      </c>
      <c r="B420" t="s">
        <v>215</v>
      </c>
      <c r="C420" t="s">
        <v>80</v>
      </c>
      <c r="D420" t="s">
        <v>81</v>
      </c>
      <c r="E420">
        <v>299</v>
      </c>
      <c r="F420">
        <v>4</v>
      </c>
      <c r="G420">
        <v>1196</v>
      </c>
      <c r="H420" t="s">
        <v>95</v>
      </c>
      <c r="I420" t="s">
        <v>98</v>
      </c>
      <c r="J420" t="s">
        <v>17</v>
      </c>
      <c r="K420" t="s">
        <v>18</v>
      </c>
      <c r="L420" t="str">
        <f t="shared" si="12"/>
        <v>Jan</v>
      </c>
      <c r="M420" t="str">
        <f t="shared" si="13"/>
        <v>Saturday</v>
      </c>
    </row>
    <row r="421" spans="1:13">
      <c r="A421" t="s">
        <v>652</v>
      </c>
      <c r="B421" t="s">
        <v>92</v>
      </c>
      <c r="C421" t="s">
        <v>60</v>
      </c>
      <c r="D421" t="s">
        <v>61</v>
      </c>
      <c r="E421">
        <v>899</v>
      </c>
      <c r="F421">
        <v>4</v>
      </c>
      <c r="G421">
        <v>3596</v>
      </c>
      <c r="H421" t="s">
        <v>37</v>
      </c>
      <c r="I421" t="s">
        <v>57</v>
      </c>
      <c r="J421" t="s">
        <v>25</v>
      </c>
      <c r="K421" t="s">
        <v>18</v>
      </c>
      <c r="L421" t="str">
        <f t="shared" si="12"/>
        <v>Feb</v>
      </c>
      <c r="M421" t="str">
        <f t="shared" si="13"/>
        <v>Saturday</v>
      </c>
    </row>
    <row r="422" spans="1:13">
      <c r="A422" t="s">
        <v>653</v>
      </c>
      <c r="B422" t="s">
        <v>598</v>
      </c>
      <c r="C422" t="s">
        <v>70</v>
      </c>
      <c r="D422" t="s">
        <v>29</v>
      </c>
      <c r="E422">
        <v>799</v>
      </c>
      <c r="F422">
        <v>4</v>
      </c>
      <c r="G422">
        <v>3196</v>
      </c>
      <c r="H422" t="s">
        <v>37</v>
      </c>
      <c r="I422" t="s">
        <v>63</v>
      </c>
      <c r="J422" t="s">
        <v>90</v>
      </c>
      <c r="K422" t="s">
        <v>18</v>
      </c>
      <c r="L422" t="str">
        <f t="shared" si="12"/>
        <v>Jun</v>
      </c>
      <c r="M422" t="str">
        <f t="shared" si="13"/>
        <v>Thursday</v>
      </c>
    </row>
    <row r="423" spans="1:13">
      <c r="A423" t="s">
        <v>654</v>
      </c>
      <c r="B423" t="s">
        <v>546</v>
      </c>
      <c r="C423" t="s">
        <v>80</v>
      </c>
      <c r="D423" t="s">
        <v>81</v>
      </c>
      <c r="E423">
        <v>299</v>
      </c>
      <c r="F423">
        <v>1</v>
      </c>
      <c r="G423">
        <v>299</v>
      </c>
      <c r="H423" t="s">
        <v>89</v>
      </c>
      <c r="I423" t="s">
        <v>31</v>
      </c>
      <c r="J423" t="s">
        <v>32</v>
      </c>
      <c r="K423" t="s">
        <v>18</v>
      </c>
      <c r="L423" t="str">
        <f t="shared" si="12"/>
        <v>Feb</v>
      </c>
      <c r="M423" t="str">
        <f t="shared" si="13"/>
        <v>Tuesday</v>
      </c>
    </row>
    <row r="424" spans="1:13">
      <c r="A424" t="s">
        <v>655</v>
      </c>
      <c r="B424" t="s">
        <v>185</v>
      </c>
      <c r="C424" t="s">
        <v>101</v>
      </c>
      <c r="D424" t="s">
        <v>81</v>
      </c>
      <c r="E424">
        <v>499</v>
      </c>
      <c r="F424">
        <v>1</v>
      </c>
      <c r="G424">
        <v>499</v>
      </c>
      <c r="H424" t="s">
        <v>186</v>
      </c>
      <c r="I424" t="s">
        <v>44</v>
      </c>
      <c r="J424" t="s">
        <v>25</v>
      </c>
      <c r="K424" t="s">
        <v>45</v>
      </c>
      <c r="L424" t="str">
        <f t="shared" si="12"/>
        <v>Mar</v>
      </c>
      <c r="M424" t="str">
        <f t="shared" si="13"/>
        <v>Monday</v>
      </c>
    </row>
    <row r="425" spans="1:13">
      <c r="A425" t="s">
        <v>656</v>
      </c>
      <c r="B425" t="s">
        <v>657</v>
      </c>
      <c r="C425" t="s">
        <v>70</v>
      </c>
      <c r="D425" t="s">
        <v>29</v>
      </c>
      <c r="E425">
        <v>799</v>
      </c>
      <c r="F425">
        <v>1</v>
      </c>
      <c r="G425">
        <v>799</v>
      </c>
      <c r="H425" t="s">
        <v>186</v>
      </c>
      <c r="I425" t="s">
        <v>105</v>
      </c>
      <c r="J425" t="s">
        <v>38</v>
      </c>
      <c r="K425" t="s">
        <v>18</v>
      </c>
      <c r="L425" t="str">
        <f t="shared" si="12"/>
        <v>Jan</v>
      </c>
      <c r="M425" t="str">
        <f t="shared" si="13"/>
        <v>Friday</v>
      </c>
    </row>
    <row r="426" spans="1:13">
      <c r="A426" t="s">
        <v>658</v>
      </c>
      <c r="B426" t="s">
        <v>12</v>
      </c>
      <c r="C426" t="s">
        <v>36</v>
      </c>
      <c r="D426" t="s">
        <v>29</v>
      </c>
      <c r="E426">
        <v>1999</v>
      </c>
      <c r="F426">
        <v>4</v>
      </c>
      <c r="G426">
        <v>7996</v>
      </c>
      <c r="H426" t="s">
        <v>66</v>
      </c>
      <c r="I426" t="s">
        <v>67</v>
      </c>
      <c r="J426" t="s">
        <v>38</v>
      </c>
      <c r="K426" t="s">
        <v>18</v>
      </c>
      <c r="L426" t="str">
        <f t="shared" si="12"/>
        <v>Apr</v>
      </c>
      <c r="M426" t="str">
        <f t="shared" si="13"/>
        <v>Thursday</v>
      </c>
    </row>
    <row r="427" spans="1:13">
      <c r="A427" t="s">
        <v>659</v>
      </c>
      <c r="B427" t="s">
        <v>109</v>
      </c>
      <c r="C427" t="s">
        <v>70</v>
      </c>
      <c r="D427" t="s">
        <v>29</v>
      </c>
      <c r="E427">
        <v>799</v>
      </c>
      <c r="F427">
        <v>3</v>
      </c>
      <c r="G427">
        <v>2397</v>
      </c>
      <c r="H427" t="s">
        <v>157</v>
      </c>
      <c r="I427" t="s">
        <v>125</v>
      </c>
      <c r="J427" t="s">
        <v>17</v>
      </c>
      <c r="K427" t="s">
        <v>18</v>
      </c>
      <c r="L427" t="str">
        <f t="shared" si="12"/>
        <v>May</v>
      </c>
      <c r="M427" t="str">
        <f t="shared" si="13"/>
        <v>Friday</v>
      </c>
    </row>
    <row r="428" spans="1:13">
      <c r="A428" t="s">
        <v>660</v>
      </c>
      <c r="B428" t="s">
        <v>137</v>
      </c>
      <c r="C428" t="s">
        <v>162</v>
      </c>
      <c r="D428" t="s">
        <v>29</v>
      </c>
      <c r="E428">
        <v>1799</v>
      </c>
      <c r="F428">
        <v>3</v>
      </c>
      <c r="G428">
        <v>5397</v>
      </c>
      <c r="H428" t="s">
        <v>15</v>
      </c>
      <c r="I428" t="s">
        <v>82</v>
      </c>
      <c r="J428" t="s">
        <v>38</v>
      </c>
      <c r="K428" t="s">
        <v>18</v>
      </c>
      <c r="L428" t="str">
        <f t="shared" si="12"/>
        <v>Mar</v>
      </c>
      <c r="M428" t="str">
        <f t="shared" si="13"/>
        <v>Monday</v>
      </c>
    </row>
    <row r="429" spans="1:13">
      <c r="A429" t="s">
        <v>661</v>
      </c>
      <c r="B429" t="s">
        <v>662</v>
      </c>
      <c r="C429" t="s">
        <v>80</v>
      </c>
      <c r="D429" t="s">
        <v>81</v>
      </c>
      <c r="E429">
        <v>299</v>
      </c>
      <c r="F429">
        <v>1</v>
      </c>
      <c r="G429">
        <v>299</v>
      </c>
      <c r="H429" t="s">
        <v>102</v>
      </c>
      <c r="I429" t="s">
        <v>44</v>
      </c>
      <c r="J429" t="s">
        <v>25</v>
      </c>
      <c r="K429" t="s">
        <v>18</v>
      </c>
      <c r="L429" t="str">
        <f t="shared" si="12"/>
        <v>Jun</v>
      </c>
      <c r="M429" t="str">
        <f t="shared" si="13"/>
        <v>Wednesday</v>
      </c>
    </row>
    <row r="430" spans="1:13">
      <c r="A430" t="s">
        <v>663</v>
      </c>
      <c r="B430" t="s">
        <v>40</v>
      </c>
      <c r="C430" t="s">
        <v>76</v>
      </c>
      <c r="D430" t="s">
        <v>49</v>
      </c>
      <c r="E430">
        <v>1599</v>
      </c>
      <c r="F430">
        <v>1</v>
      </c>
      <c r="G430">
        <v>1599</v>
      </c>
      <c r="H430" t="s">
        <v>30</v>
      </c>
      <c r="I430" t="s">
        <v>57</v>
      </c>
      <c r="J430" t="s">
        <v>38</v>
      </c>
      <c r="K430" t="s">
        <v>18</v>
      </c>
      <c r="L430" t="str">
        <f t="shared" si="12"/>
        <v>Mar</v>
      </c>
      <c r="M430" t="str">
        <f t="shared" si="13"/>
        <v>Friday</v>
      </c>
    </row>
    <row r="431" spans="1:13">
      <c r="A431" t="s">
        <v>664</v>
      </c>
      <c r="B431" t="s">
        <v>121</v>
      </c>
      <c r="C431" t="s">
        <v>87</v>
      </c>
      <c r="D431" t="s">
        <v>88</v>
      </c>
      <c r="E431">
        <v>5499</v>
      </c>
      <c r="F431">
        <v>2</v>
      </c>
      <c r="G431">
        <v>10998</v>
      </c>
      <c r="H431" t="s">
        <v>186</v>
      </c>
      <c r="I431" t="s">
        <v>44</v>
      </c>
      <c r="J431" t="s">
        <v>90</v>
      </c>
      <c r="K431" t="s">
        <v>45</v>
      </c>
      <c r="L431" t="str">
        <f t="shared" si="12"/>
        <v>Jan</v>
      </c>
      <c r="M431" t="str">
        <f t="shared" si="13"/>
        <v>Wednesday</v>
      </c>
    </row>
    <row r="432" spans="1:13">
      <c r="A432" t="s">
        <v>665</v>
      </c>
      <c r="B432" t="s">
        <v>116</v>
      </c>
      <c r="C432" t="s">
        <v>87</v>
      </c>
      <c r="D432" t="s">
        <v>88</v>
      </c>
      <c r="E432">
        <v>5499</v>
      </c>
      <c r="F432">
        <v>2</v>
      </c>
      <c r="G432">
        <v>10998</v>
      </c>
      <c r="H432" t="s">
        <v>186</v>
      </c>
      <c r="I432" t="s">
        <v>57</v>
      </c>
      <c r="J432" t="s">
        <v>32</v>
      </c>
      <c r="K432" t="s">
        <v>18</v>
      </c>
      <c r="L432" t="str">
        <f t="shared" si="12"/>
        <v>Jan</v>
      </c>
      <c r="M432" t="str">
        <f t="shared" si="13"/>
        <v>Sunday</v>
      </c>
    </row>
    <row r="433" spans="1:13">
      <c r="A433" t="s">
        <v>666</v>
      </c>
      <c r="B433" t="s">
        <v>97</v>
      </c>
      <c r="C433" t="s">
        <v>122</v>
      </c>
      <c r="D433" t="s">
        <v>29</v>
      </c>
      <c r="E433">
        <v>1299</v>
      </c>
      <c r="F433">
        <v>1</v>
      </c>
      <c r="G433">
        <v>1299</v>
      </c>
      <c r="H433" t="s">
        <v>71</v>
      </c>
      <c r="I433" t="s">
        <v>16</v>
      </c>
      <c r="J433" t="s">
        <v>90</v>
      </c>
      <c r="K433" t="s">
        <v>45</v>
      </c>
      <c r="L433" t="str">
        <f t="shared" si="12"/>
        <v>Mar</v>
      </c>
      <c r="M433" t="str">
        <f t="shared" si="13"/>
        <v>Sunday</v>
      </c>
    </row>
    <row r="434" spans="1:13">
      <c r="A434" t="s">
        <v>667</v>
      </c>
      <c r="B434" t="s">
        <v>325</v>
      </c>
      <c r="C434" t="s">
        <v>13</v>
      </c>
      <c r="D434" t="s">
        <v>14</v>
      </c>
      <c r="E434">
        <v>2499</v>
      </c>
      <c r="F434">
        <v>2</v>
      </c>
      <c r="G434">
        <v>4998</v>
      </c>
      <c r="H434" t="s">
        <v>157</v>
      </c>
      <c r="I434" t="s">
        <v>44</v>
      </c>
      <c r="J434" t="s">
        <v>90</v>
      </c>
      <c r="K434" t="s">
        <v>18</v>
      </c>
      <c r="L434" t="str">
        <f t="shared" si="12"/>
        <v>Feb</v>
      </c>
      <c r="M434" t="str">
        <f t="shared" si="13"/>
        <v>Wednesday</v>
      </c>
    </row>
    <row r="435" spans="1:13">
      <c r="A435" t="s">
        <v>668</v>
      </c>
      <c r="B435" t="s">
        <v>177</v>
      </c>
      <c r="C435" t="s">
        <v>21</v>
      </c>
      <c r="D435" t="s">
        <v>22</v>
      </c>
      <c r="E435">
        <v>1499</v>
      </c>
      <c r="F435">
        <v>3</v>
      </c>
      <c r="G435">
        <v>4497</v>
      </c>
      <c r="H435" t="s">
        <v>66</v>
      </c>
      <c r="I435" t="s">
        <v>57</v>
      </c>
      <c r="J435" t="s">
        <v>25</v>
      </c>
      <c r="K435" t="s">
        <v>18</v>
      </c>
      <c r="L435" t="str">
        <f t="shared" si="12"/>
        <v>Jan</v>
      </c>
      <c r="M435" t="str">
        <f t="shared" si="13"/>
        <v>Saturday</v>
      </c>
    </row>
    <row r="436" spans="1:13">
      <c r="A436" t="s">
        <v>669</v>
      </c>
      <c r="B436" t="s">
        <v>408</v>
      </c>
      <c r="C436" t="s">
        <v>122</v>
      </c>
      <c r="D436" t="s">
        <v>29</v>
      </c>
      <c r="E436">
        <v>1299</v>
      </c>
      <c r="F436">
        <v>2</v>
      </c>
      <c r="G436">
        <v>2598</v>
      </c>
      <c r="H436" t="s">
        <v>30</v>
      </c>
      <c r="I436" t="s">
        <v>31</v>
      </c>
      <c r="J436" t="s">
        <v>25</v>
      </c>
      <c r="K436" t="s">
        <v>45</v>
      </c>
      <c r="L436" t="str">
        <f t="shared" si="12"/>
        <v>Mar</v>
      </c>
      <c r="M436" t="str">
        <f t="shared" si="13"/>
        <v>Monday</v>
      </c>
    </row>
    <row r="437" spans="1:13">
      <c r="A437" t="s">
        <v>670</v>
      </c>
      <c r="B437" t="s">
        <v>59</v>
      </c>
      <c r="C437" t="s">
        <v>122</v>
      </c>
      <c r="D437" t="s">
        <v>29</v>
      </c>
      <c r="E437">
        <v>1299</v>
      </c>
      <c r="F437">
        <v>3</v>
      </c>
      <c r="G437">
        <v>3897</v>
      </c>
      <c r="H437" t="s">
        <v>119</v>
      </c>
      <c r="I437" t="s">
        <v>67</v>
      </c>
      <c r="J437" t="s">
        <v>90</v>
      </c>
      <c r="K437" t="s">
        <v>33</v>
      </c>
      <c r="L437" t="str">
        <f t="shared" si="12"/>
        <v>Apr</v>
      </c>
      <c r="M437" t="str">
        <f t="shared" si="13"/>
        <v>Monday</v>
      </c>
    </row>
    <row r="438" spans="1:13">
      <c r="A438" t="s">
        <v>671</v>
      </c>
      <c r="B438" t="s">
        <v>303</v>
      </c>
      <c r="C438" t="s">
        <v>13</v>
      </c>
      <c r="D438" t="s">
        <v>14</v>
      </c>
      <c r="E438">
        <v>2499</v>
      </c>
      <c r="F438">
        <v>3</v>
      </c>
      <c r="G438">
        <v>7497</v>
      </c>
      <c r="H438" t="s">
        <v>30</v>
      </c>
      <c r="I438" t="s">
        <v>105</v>
      </c>
      <c r="J438" t="s">
        <v>17</v>
      </c>
      <c r="K438" t="s">
        <v>45</v>
      </c>
      <c r="L438" t="str">
        <f t="shared" si="12"/>
        <v>Jun</v>
      </c>
      <c r="M438" t="str">
        <f t="shared" si="13"/>
        <v>Tuesday</v>
      </c>
    </row>
    <row r="439" spans="1:13">
      <c r="A439" t="s">
        <v>672</v>
      </c>
      <c r="B439" t="s">
        <v>257</v>
      </c>
      <c r="C439" t="s">
        <v>48</v>
      </c>
      <c r="D439" t="s">
        <v>49</v>
      </c>
      <c r="E439">
        <v>699</v>
      </c>
      <c r="F439">
        <v>4</v>
      </c>
      <c r="G439">
        <v>2796</v>
      </c>
      <c r="H439" t="s">
        <v>15</v>
      </c>
      <c r="I439" t="s">
        <v>31</v>
      </c>
      <c r="J439" t="s">
        <v>25</v>
      </c>
      <c r="K439" t="s">
        <v>18</v>
      </c>
      <c r="L439" t="str">
        <f t="shared" si="12"/>
        <v>Apr</v>
      </c>
      <c r="M439" t="str">
        <f t="shared" si="13"/>
        <v>Wednesday</v>
      </c>
    </row>
    <row r="440" spans="1:13">
      <c r="A440" t="s">
        <v>673</v>
      </c>
      <c r="B440" t="s">
        <v>325</v>
      </c>
      <c r="C440" t="s">
        <v>162</v>
      </c>
      <c r="D440" t="s">
        <v>29</v>
      </c>
      <c r="E440">
        <v>1799</v>
      </c>
      <c r="F440">
        <v>1</v>
      </c>
      <c r="G440">
        <v>1799</v>
      </c>
      <c r="H440" t="s">
        <v>119</v>
      </c>
      <c r="I440" t="s">
        <v>57</v>
      </c>
      <c r="J440" t="s">
        <v>17</v>
      </c>
      <c r="K440" t="s">
        <v>18</v>
      </c>
      <c r="L440" t="str">
        <f t="shared" si="12"/>
        <v>Feb</v>
      </c>
      <c r="M440" t="str">
        <f t="shared" si="13"/>
        <v>Wednesday</v>
      </c>
    </row>
    <row r="441" spans="1:13">
      <c r="A441" t="s">
        <v>674</v>
      </c>
      <c r="B441" t="s">
        <v>675</v>
      </c>
      <c r="C441" t="s">
        <v>48</v>
      </c>
      <c r="D441" t="s">
        <v>49</v>
      </c>
      <c r="E441">
        <v>699</v>
      </c>
      <c r="F441">
        <v>3</v>
      </c>
      <c r="G441">
        <v>2097</v>
      </c>
      <c r="H441" t="s">
        <v>119</v>
      </c>
      <c r="I441" t="s">
        <v>44</v>
      </c>
      <c r="J441" t="s">
        <v>25</v>
      </c>
      <c r="K441" t="s">
        <v>18</v>
      </c>
      <c r="L441" t="str">
        <f t="shared" si="12"/>
        <v>Mar</v>
      </c>
      <c r="M441" t="str">
        <f t="shared" si="13"/>
        <v>Friday</v>
      </c>
    </row>
    <row r="442" spans="1:13">
      <c r="A442" t="s">
        <v>676</v>
      </c>
      <c r="B442" t="s">
        <v>175</v>
      </c>
      <c r="C442" t="s">
        <v>135</v>
      </c>
      <c r="D442" t="s">
        <v>29</v>
      </c>
      <c r="E442">
        <v>3999</v>
      </c>
      <c r="F442">
        <v>5</v>
      </c>
      <c r="G442">
        <v>19995</v>
      </c>
      <c r="H442" t="s">
        <v>62</v>
      </c>
      <c r="I442" t="s">
        <v>105</v>
      </c>
      <c r="J442" t="s">
        <v>25</v>
      </c>
      <c r="K442" t="s">
        <v>18</v>
      </c>
      <c r="L442" t="str">
        <f t="shared" si="12"/>
        <v>May</v>
      </c>
      <c r="M442" t="str">
        <f t="shared" si="13"/>
        <v>Thursday</v>
      </c>
    </row>
    <row r="443" spans="1:13">
      <c r="A443" t="s">
        <v>677</v>
      </c>
      <c r="B443" t="s">
        <v>657</v>
      </c>
      <c r="C443" t="s">
        <v>80</v>
      </c>
      <c r="D443" t="s">
        <v>81</v>
      </c>
      <c r="E443">
        <v>299</v>
      </c>
      <c r="F443">
        <v>1</v>
      </c>
      <c r="G443">
        <v>299</v>
      </c>
      <c r="H443" t="s">
        <v>56</v>
      </c>
      <c r="I443" t="s">
        <v>98</v>
      </c>
      <c r="J443" t="s">
        <v>17</v>
      </c>
      <c r="K443" t="s">
        <v>45</v>
      </c>
      <c r="L443" t="str">
        <f t="shared" si="12"/>
        <v>Jan</v>
      </c>
      <c r="M443" t="str">
        <f t="shared" si="13"/>
        <v>Friday</v>
      </c>
    </row>
    <row r="444" spans="1:13">
      <c r="A444" t="s">
        <v>678</v>
      </c>
      <c r="B444" t="s">
        <v>227</v>
      </c>
      <c r="C444" t="s">
        <v>122</v>
      </c>
      <c r="D444" t="s">
        <v>29</v>
      </c>
      <c r="E444">
        <v>1299</v>
      </c>
      <c r="F444">
        <v>5</v>
      </c>
      <c r="G444">
        <v>6495</v>
      </c>
      <c r="H444" t="s">
        <v>37</v>
      </c>
      <c r="I444" t="s">
        <v>67</v>
      </c>
      <c r="J444" t="s">
        <v>17</v>
      </c>
      <c r="K444" t="s">
        <v>18</v>
      </c>
      <c r="L444" t="str">
        <f t="shared" si="12"/>
        <v>Jan</v>
      </c>
      <c r="M444" t="str">
        <f t="shared" si="13"/>
        <v>Sunday</v>
      </c>
    </row>
    <row r="445" spans="1:13">
      <c r="A445" t="s">
        <v>679</v>
      </c>
      <c r="B445" t="s">
        <v>227</v>
      </c>
      <c r="C445" t="s">
        <v>21</v>
      </c>
      <c r="D445" t="s">
        <v>22</v>
      </c>
      <c r="E445">
        <v>1499</v>
      </c>
      <c r="F445">
        <v>3</v>
      </c>
      <c r="G445">
        <v>4497</v>
      </c>
      <c r="H445" t="s">
        <v>23</v>
      </c>
      <c r="I445" t="s">
        <v>31</v>
      </c>
      <c r="J445" t="s">
        <v>25</v>
      </c>
      <c r="K445" t="s">
        <v>45</v>
      </c>
      <c r="L445" t="str">
        <f t="shared" si="12"/>
        <v>Jan</v>
      </c>
      <c r="M445" t="str">
        <f t="shared" si="13"/>
        <v>Sunday</v>
      </c>
    </row>
    <row r="446" spans="1:13">
      <c r="A446" t="s">
        <v>680</v>
      </c>
      <c r="B446" t="s">
        <v>447</v>
      </c>
      <c r="C446" t="s">
        <v>21</v>
      </c>
      <c r="D446" t="s">
        <v>22</v>
      </c>
      <c r="E446">
        <v>1499</v>
      </c>
      <c r="F446">
        <v>4</v>
      </c>
      <c r="G446">
        <v>5996</v>
      </c>
      <c r="H446" t="s">
        <v>62</v>
      </c>
      <c r="I446" t="s">
        <v>57</v>
      </c>
      <c r="J446" t="s">
        <v>32</v>
      </c>
      <c r="K446" t="s">
        <v>18</v>
      </c>
      <c r="L446" t="str">
        <f t="shared" si="12"/>
        <v>May</v>
      </c>
      <c r="M446" t="str">
        <f t="shared" si="13"/>
        <v>Friday</v>
      </c>
    </row>
    <row r="447" spans="1:13">
      <c r="A447" t="s">
        <v>681</v>
      </c>
      <c r="B447" t="s">
        <v>682</v>
      </c>
      <c r="C447" t="s">
        <v>162</v>
      </c>
      <c r="D447" t="s">
        <v>29</v>
      </c>
      <c r="E447">
        <v>1799</v>
      </c>
      <c r="F447">
        <v>3</v>
      </c>
      <c r="G447">
        <v>5397</v>
      </c>
      <c r="H447" t="s">
        <v>102</v>
      </c>
      <c r="I447" t="s">
        <v>63</v>
      </c>
      <c r="J447" t="s">
        <v>38</v>
      </c>
      <c r="K447" t="s">
        <v>18</v>
      </c>
      <c r="L447" t="str">
        <f t="shared" si="12"/>
        <v>Feb</v>
      </c>
      <c r="M447" t="str">
        <f t="shared" si="13"/>
        <v>Monday</v>
      </c>
    </row>
    <row r="448" spans="1:13">
      <c r="A448" t="s">
        <v>683</v>
      </c>
      <c r="B448" t="s">
        <v>51</v>
      </c>
      <c r="C448" t="s">
        <v>87</v>
      </c>
      <c r="D448" t="s">
        <v>88</v>
      </c>
      <c r="E448">
        <v>5499</v>
      </c>
      <c r="F448">
        <v>1</v>
      </c>
      <c r="G448">
        <v>5499</v>
      </c>
      <c r="H448" t="s">
        <v>62</v>
      </c>
      <c r="I448" t="s">
        <v>31</v>
      </c>
      <c r="J448" t="s">
        <v>32</v>
      </c>
      <c r="K448" t="s">
        <v>18</v>
      </c>
      <c r="L448" t="str">
        <f t="shared" si="12"/>
        <v>May</v>
      </c>
      <c r="M448" t="str">
        <f t="shared" si="13"/>
        <v>Monday</v>
      </c>
    </row>
    <row r="449" spans="1:13">
      <c r="A449" t="s">
        <v>684</v>
      </c>
      <c r="B449" t="s">
        <v>512</v>
      </c>
      <c r="C449" t="s">
        <v>21</v>
      </c>
      <c r="D449" t="s">
        <v>22</v>
      </c>
      <c r="E449">
        <v>1499</v>
      </c>
      <c r="F449">
        <v>1</v>
      </c>
      <c r="G449">
        <v>1499</v>
      </c>
      <c r="H449" t="s">
        <v>56</v>
      </c>
      <c r="I449" t="s">
        <v>77</v>
      </c>
      <c r="J449" t="s">
        <v>25</v>
      </c>
      <c r="K449" t="s">
        <v>18</v>
      </c>
      <c r="L449" t="str">
        <f t="shared" si="12"/>
        <v>Mar</v>
      </c>
      <c r="M449" t="str">
        <f t="shared" si="13"/>
        <v>Wednesday</v>
      </c>
    </row>
    <row r="450" spans="1:13">
      <c r="A450" t="s">
        <v>685</v>
      </c>
      <c r="B450" t="s">
        <v>442</v>
      </c>
      <c r="C450" t="s">
        <v>80</v>
      </c>
      <c r="D450" t="s">
        <v>81</v>
      </c>
      <c r="E450">
        <v>299</v>
      </c>
      <c r="F450">
        <v>4</v>
      </c>
      <c r="G450">
        <v>1196</v>
      </c>
      <c r="H450" t="s">
        <v>186</v>
      </c>
      <c r="I450" t="s">
        <v>24</v>
      </c>
      <c r="J450" t="s">
        <v>90</v>
      </c>
      <c r="K450" t="s">
        <v>18</v>
      </c>
      <c r="L450" t="str">
        <f t="shared" si="12"/>
        <v>Apr</v>
      </c>
      <c r="M450" t="str">
        <f t="shared" si="13"/>
        <v>Wednesday</v>
      </c>
    </row>
    <row r="451" spans="1:13">
      <c r="A451" t="s">
        <v>686</v>
      </c>
      <c r="B451" t="s">
        <v>203</v>
      </c>
      <c r="C451" t="s">
        <v>28</v>
      </c>
      <c r="D451" t="s">
        <v>29</v>
      </c>
      <c r="E451">
        <v>1299</v>
      </c>
      <c r="F451">
        <v>1</v>
      </c>
      <c r="G451">
        <v>1299</v>
      </c>
      <c r="H451" t="s">
        <v>37</v>
      </c>
      <c r="I451" t="s">
        <v>98</v>
      </c>
      <c r="J451" t="s">
        <v>17</v>
      </c>
      <c r="K451" t="s">
        <v>18</v>
      </c>
      <c r="L451" t="str">
        <f t="shared" ref="L451:L514" si="14">TEXT(B451,"MMM")</f>
        <v>Feb</v>
      </c>
      <c r="M451" t="str">
        <f t="shared" ref="M451:M514" si="15">TEXT(B451,"dddd")</f>
        <v>Friday</v>
      </c>
    </row>
    <row r="452" spans="1:13">
      <c r="A452" t="s">
        <v>687</v>
      </c>
      <c r="B452" t="s">
        <v>408</v>
      </c>
      <c r="C452" t="s">
        <v>70</v>
      </c>
      <c r="D452" t="s">
        <v>29</v>
      </c>
      <c r="E452">
        <v>799</v>
      </c>
      <c r="F452">
        <v>2</v>
      </c>
      <c r="G452">
        <v>1598</v>
      </c>
      <c r="H452" t="s">
        <v>37</v>
      </c>
      <c r="I452" t="s">
        <v>125</v>
      </c>
      <c r="J452" t="s">
        <v>25</v>
      </c>
      <c r="K452" t="s">
        <v>18</v>
      </c>
      <c r="L452" t="str">
        <f t="shared" si="14"/>
        <v>Mar</v>
      </c>
      <c r="M452" t="str">
        <f t="shared" si="15"/>
        <v>Monday</v>
      </c>
    </row>
    <row r="453" spans="1:13">
      <c r="A453" t="s">
        <v>688</v>
      </c>
      <c r="B453" t="s">
        <v>109</v>
      </c>
      <c r="C453" t="s">
        <v>80</v>
      </c>
      <c r="D453" t="s">
        <v>81</v>
      </c>
      <c r="E453">
        <v>299</v>
      </c>
      <c r="F453">
        <v>2</v>
      </c>
      <c r="G453">
        <v>598</v>
      </c>
      <c r="H453" t="s">
        <v>89</v>
      </c>
      <c r="I453" t="s">
        <v>16</v>
      </c>
      <c r="J453" t="s">
        <v>38</v>
      </c>
      <c r="K453" t="s">
        <v>45</v>
      </c>
      <c r="L453" t="str">
        <f t="shared" si="14"/>
        <v>May</v>
      </c>
      <c r="M453" t="str">
        <f t="shared" si="15"/>
        <v>Friday</v>
      </c>
    </row>
    <row r="454" spans="1:13">
      <c r="A454" t="s">
        <v>689</v>
      </c>
      <c r="B454" t="s">
        <v>179</v>
      </c>
      <c r="C454" t="s">
        <v>122</v>
      </c>
      <c r="D454" t="s">
        <v>29</v>
      </c>
      <c r="E454">
        <v>1299</v>
      </c>
      <c r="F454">
        <v>1</v>
      </c>
      <c r="G454">
        <v>1299</v>
      </c>
      <c r="H454" t="s">
        <v>15</v>
      </c>
      <c r="I454" t="s">
        <v>57</v>
      </c>
      <c r="J454" t="s">
        <v>32</v>
      </c>
      <c r="K454" t="s">
        <v>45</v>
      </c>
      <c r="L454" t="str">
        <f t="shared" si="14"/>
        <v>May</v>
      </c>
      <c r="M454" t="str">
        <f t="shared" si="15"/>
        <v>Wednesday</v>
      </c>
    </row>
    <row r="455" spans="1:13">
      <c r="A455" t="s">
        <v>690</v>
      </c>
      <c r="B455" t="s">
        <v>485</v>
      </c>
      <c r="C455" t="s">
        <v>13</v>
      </c>
      <c r="D455" t="s">
        <v>14</v>
      </c>
      <c r="E455">
        <v>2499</v>
      </c>
      <c r="F455">
        <v>4</v>
      </c>
      <c r="G455">
        <v>9996</v>
      </c>
      <c r="H455" t="s">
        <v>119</v>
      </c>
      <c r="I455" t="s">
        <v>31</v>
      </c>
      <c r="J455" t="s">
        <v>38</v>
      </c>
      <c r="K455" t="s">
        <v>45</v>
      </c>
      <c r="L455" t="str">
        <f t="shared" si="14"/>
        <v>Jan</v>
      </c>
      <c r="M455" t="str">
        <f t="shared" si="15"/>
        <v>Sunday</v>
      </c>
    </row>
    <row r="456" spans="1:13">
      <c r="A456" t="s">
        <v>691</v>
      </c>
      <c r="B456" t="s">
        <v>310</v>
      </c>
      <c r="C456" t="s">
        <v>21</v>
      </c>
      <c r="D456" t="s">
        <v>22</v>
      </c>
      <c r="E456">
        <v>1499</v>
      </c>
      <c r="F456">
        <v>5</v>
      </c>
      <c r="G456">
        <v>7495</v>
      </c>
      <c r="H456" t="s">
        <v>186</v>
      </c>
      <c r="I456" t="s">
        <v>24</v>
      </c>
      <c r="J456" t="s">
        <v>17</v>
      </c>
      <c r="K456" t="s">
        <v>18</v>
      </c>
      <c r="L456" t="str">
        <f t="shared" si="14"/>
        <v>Feb</v>
      </c>
      <c r="M456" t="str">
        <f t="shared" si="15"/>
        <v>Sunday</v>
      </c>
    </row>
    <row r="457" spans="1:13">
      <c r="A457" t="s">
        <v>692</v>
      </c>
      <c r="B457" t="s">
        <v>205</v>
      </c>
      <c r="C457" t="s">
        <v>21</v>
      </c>
      <c r="D457" t="s">
        <v>22</v>
      </c>
      <c r="E457">
        <v>1499</v>
      </c>
      <c r="F457">
        <v>2</v>
      </c>
      <c r="G457">
        <v>2998</v>
      </c>
      <c r="H457" t="s">
        <v>37</v>
      </c>
      <c r="I457" t="s">
        <v>77</v>
      </c>
      <c r="J457" t="s">
        <v>25</v>
      </c>
      <c r="K457" t="s">
        <v>45</v>
      </c>
      <c r="L457" t="str">
        <f t="shared" si="14"/>
        <v>Jan</v>
      </c>
      <c r="M457" t="str">
        <f t="shared" si="15"/>
        <v>Wednesday</v>
      </c>
    </row>
    <row r="458" spans="1:13">
      <c r="A458" t="s">
        <v>693</v>
      </c>
      <c r="B458" t="s">
        <v>485</v>
      </c>
      <c r="C458" t="s">
        <v>48</v>
      </c>
      <c r="D458" t="s">
        <v>49</v>
      </c>
      <c r="E458">
        <v>699</v>
      </c>
      <c r="F458">
        <v>4</v>
      </c>
      <c r="G458">
        <v>2796</v>
      </c>
      <c r="H458" t="s">
        <v>119</v>
      </c>
      <c r="I458" t="s">
        <v>67</v>
      </c>
      <c r="J458" t="s">
        <v>25</v>
      </c>
      <c r="K458" t="s">
        <v>18</v>
      </c>
      <c r="L458" t="str">
        <f t="shared" si="14"/>
        <v>Jan</v>
      </c>
      <c r="M458" t="str">
        <f t="shared" si="15"/>
        <v>Sunday</v>
      </c>
    </row>
    <row r="459" spans="1:13">
      <c r="A459" t="s">
        <v>694</v>
      </c>
      <c r="B459" t="s">
        <v>75</v>
      </c>
      <c r="C459" t="s">
        <v>28</v>
      </c>
      <c r="D459" t="s">
        <v>29</v>
      </c>
      <c r="E459">
        <v>1299</v>
      </c>
      <c r="F459">
        <v>1</v>
      </c>
      <c r="G459">
        <v>1299</v>
      </c>
      <c r="H459" t="s">
        <v>119</v>
      </c>
      <c r="I459" t="s">
        <v>77</v>
      </c>
      <c r="J459" t="s">
        <v>90</v>
      </c>
      <c r="K459" t="s">
        <v>18</v>
      </c>
      <c r="L459" t="str">
        <f t="shared" si="14"/>
        <v>Jun</v>
      </c>
      <c r="M459" t="str">
        <f t="shared" si="15"/>
        <v>Thursday</v>
      </c>
    </row>
    <row r="460" spans="1:13">
      <c r="A460" t="s">
        <v>695</v>
      </c>
      <c r="B460" t="s">
        <v>398</v>
      </c>
      <c r="C460" t="s">
        <v>135</v>
      </c>
      <c r="D460" t="s">
        <v>29</v>
      </c>
      <c r="E460">
        <v>3999</v>
      </c>
      <c r="F460">
        <v>3</v>
      </c>
      <c r="G460">
        <v>11997</v>
      </c>
      <c r="H460" t="s">
        <v>157</v>
      </c>
      <c r="I460" t="s">
        <v>63</v>
      </c>
      <c r="J460" t="s">
        <v>32</v>
      </c>
      <c r="K460" t="s">
        <v>33</v>
      </c>
      <c r="L460" t="str">
        <f t="shared" si="14"/>
        <v>Jan</v>
      </c>
      <c r="M460" t="str">
        <f t="shared" si="15"/>
        <v>Friday</v>
      </c>
    </row>
    <row r="461" spans="1:13">
      <c r="A461" t="s">
        <v>696</v>
      </c>
      <c r="B461" t="s">
        <v>152</v>
      </c>
      <c r="C461" t="s">
        <v>28</v>
      </c>
      <c r="D461" t="s">
        <v>29</v>
      </c>
      <c r="E461">
        <v>1299</v>
      </c>
      <c r="F461">
        <v>4</v>
      </c>
      <c r="G461">
        <v>5196</v>
      </c>
      <c r="H461" t="s">
        <v>30</v>
      </c>
      <c r="I461" t="s">
        <v>63</v>
      </c>
      <c r="J461" t="s">
        <v>17</v>
      </c>
      <c r="K461" t="s">
        <v>18</v>
      </c>
      <c r="L461" t="str">
        <f t="shared" si="14"/>
        <v>Apr</v>
      </c>
      <c r="M461" t="str">
        <f t="shared" si="15"/>
        <v>Saturday</v>
      </c>
    </row>
    <row r="462" spans="1:13">
      <c r="A462" t="s">
        <v>697</v>
      </c>
      <c r="B462" t="s">
        <v>185</v>
      </c>
      <c r="C462" t="s">
        <v>135</v>
      </c>
      <c r="D462" t="s">
        <v>29</v>
      </c>
      <c r="E462">
        <v>3999</v>
      </c>
      <c r="F462">
        <v>2</v>
      </c>
      <c r="G462">
        <v>7998</v>
      </c>
      <c r="H462" t="s">
        <v>15</v>
      </c>
      <c r="I462" t="s">
        <v>24</v>
      </c>
      <c r="J462" t="s">
        <v>25</v>
      </c>
      <c r="K462" t="s">
        <v>18</v>
      </c>
      <c r="L462" t="str">
        <f t="shared" si="14"/>
        <v>Mar</v>
      </c>
      <c r="M462" t="str">
        <f t="shared" si="15"/>
        <v>Monday</v>
      </c>
    </row>
    <row r="463" spans="1:13">
      <c r="A463" t="s">
        <v>698</v>
      </c>
      <c r="B463" t="s">
        <v>139</v>
      </c>
      <c r="C463" t="s">
        <v>76</v>
      </c>
      <c r="D463" t="s">
        <v>49</v>
      </c>
      <c r="E463">
        <v>1599</v>
      </c>
      <c r="F463">
        <v>4</v>
      </c>
      <c r="G463">
        <v>6396</v>
      </c>
      <c r="H463" t="s">
        <v>102</v>
      </c>
      <c r="I463" t="s">
        <v>105</v>
      </c>
      <c r="J463" t="s">
        <v>32</v>
      </c>
      <c r="K463" t="s">
        <v>18</v>
      </c>
      <c r="L463" t="str">
        <f t="shared" si="14"/>
        <v>Mar</v>
      </c>
      <c r="M463" t="str">
        <f t="shared" si="15"/>
        <v>Saturday</v>
      </c>
    </row>
    <row r="464" spans="1:13">
      <c r="A464" t="s">
        <v>699</v>
      </c>
      <c r="B464" t="s">
        <v>215</v>
      </c>
      <c r="C464" t="s">
        <v>80</v>
      </c>
      <c r="D464" t="s">
        <v>81</v>
      </c>
      <c r="E464">
        <v>299</v>
      </c>
      <c r="F464">
        <v>2</v>
      </c>
      <c r="G464">
        <v>598</v>
      </c>
      <c r="H464" t="s">
        <v>43</v>
      </c>
      <c r="I464" t="s">
        <v>77</v>
      </c>
      <c r="J464" t="s">
        <v>17</v>
      </c>
      <c r="K464" t="s">
        <v>33</v>
      </c>
      <c r="L464" t="str">
        <f t="shared" si="14"/>
        <v>Jan</v>
      </c>
      <c r="M464" t="str">
        <f t="shared" si="15"/>
        <v>Saturday</v>
      </c>
    </row>
    <row r="465" spans="1:13">
      <c r="A465" t="s">
        <v>700</v>
      </c>
      <c r="B465" t="s">
        <v>343</v>
      </c>
      <c r="C465" t="s">
        <v>21</v>
      </c>
      <c r="D465" t="s">
        <v>22</v>
      </c>
      <c r="E465">
        <v>1499</v>
      </c>
      <c r="F465">
        <v>5</v>
      </c>
      <c r="G465">
        <v>7495</v>
      </c>
      <c r="H465" t="s">
        <v>102</v>
      </c>
      <c r="I465" t="s">
        <v>105</v>
      </c>
      <c r="J465" t="s">
        <v>17</v>
      </c>
      <c r="K465" t="s">
        <v>18</v>
      </c>
      <c r="L465" t="str">
        <f t="shared" si="14"/>
        <v>May</v>
      </c>
      <c r="M465" t="str">
        <f t="shared" si="15"/>
        <v>Friday</v>
      </c>
    </row>
    <row r="466" spans="1:13">
      <c r="A466" t="s">
        <v>701</v>
      </c>
      <c r="B466" t="s">
        <v>553</v>
      </c>
      <c r="C466" t="s">
        <v>87</v>
      </c>
      <c r="D466" t="s">
        <v>88</v>
      </c>
      <c r="E466">
        <v>5499</v>
      </c>
      <c r="F466">
        <v>5</v>
      </c>
      <c r="G466">
        <v>27495</v>
      </c>
      <c r="H466" t="s">
        <v>119</v>
      </c>
      <c r="I466" t="s">
        <v>24</v>
      </c>
      <c r="J466" t="s">
        <v>38</v>
      </c>
      <c r="K466" t="s">
        <v>18</v>
      </c>
      <c r="L466" t="str">
        <f t="shared" si="14"/>
        <v>Mar</v>
      </c>
      <c r="M466" t="str">
        <f t="shared" si="15"/>
        <v>Tuesday</v>
      </c>
    </row>
    <row r="467" spans="1:13">
      <c r="A467" t="s">
        <v>702</v>
      </c>
      <c r="B467" t="s">
        <v>107</v>
      </c>
      <c r="C467" t="s">
        <v>70</v>
      </c>
      <c r="D467" t="s">
        <v>29</v>
      </c>
      <c r="E467">
        <v>799</v>
      </c>
      <c r="F467">
        <v>3</v>
      </c>
      <c r="G467">
        <v>2397</v>
      </c>
      <c r="H467" t="s">
        <v>119</v>
      </c>
      <c r="I467" t="s">
        <v>31</v>
      </c>
      <c r="J467" t="s">
        <v>38</v>
      </c>
      <c r="K467" t="s">
        <v>45</v>
      </c>
      <c r="L467" t="str">
        <f t="shared" si="14"/>
        <v>May</v>
      </c>
      <c r="M467" t="str">
        <f t="shared" si="15"/>
        <v>Saturday</v>
      </c>
    </row>
    <row r="468" spans="1:13">
      <c r="A468" t="s">
        <v>703</v>
      </c>
      <c r="B468" t="s">
        <v>381</v>
      </c>
      <c r="C468" t="s">
        <v>52</v>
      </c>
      <c r="D468" t="s">
        <v>53</v>
      </c>
      <c r="E468">
        <v>199</v>
      </c>
      <c r="F468">
        <v>3</v>
      </c>
      <c r="G468">
        <v>597</v>
      </c>
      <c r="H468" t="s">
        <v>56</v>
      </c>
      <c r="I468" t="s">
        <v>16</v>
      </c>
      <c r="J468" t="s">
        <v>17</v>
      </c>
      <c r="K468" t="s">
        <v>18</v>
      </c>
      <c r="L468" t="str">
        <f t="shared" si="14"/>
        <v>Apr</v>
      </c>
      <c r="M468" t="str">
        <f t="shared" si="15"/>
        <v>Thursday</v>
      </c>
    </row>
    <row r="469" spans="1:13">
      <c r="A469" t="s">
        <v>704</v>
      </c>
      <c r="B469" t="s">
        <v>553</v>
      </c>
      <c r="C469" t="s">
        <v>36</v>
      </c>
      <c r="D469" t="s">
        <v>29</v>
      </c>
      <c r="E469">
        <v>1999</v>
      </c>
      <c r="F469">
        <v>4</v>
      </c>
      <c r="G469">
        <v>7996</v>
      </c>
      <c r="H469" t="s">
        <v>157</v>
      </c>
      <c r="I469" t="s">
        <v>77</v>
      </c>
      <c r="J469" t="s">
        <v>25</v>
      </c>
      <c r="K469" t="s">
        <v>18</v>
      </c>
      <c r="L469" t="str">
        <f t="shared" si="14"/>
        <v>Mar</v>
      </c>
      <c r="M469" t="str">
        <f t="shared" si="15"/>
        <v>Tuesday</v>
      </c>
    </row>
    <row r="470" spans="1:13">
      <c r="A470" t="s">
        <v>705</v>
      </c>
      <c r="B470" t="s">
        <v>40</v>
      </c>
      <c r="C470" t="s">
        <v>76</v>
      </c>
      <c r="D470" t="s">
        <v>49</v>
      </c>
      <c r="E470">
        <v>1599</v>
      </c>
      <c r="F470">
        <v>3</v>
      </c>
      <c r="G470">
        <v>4797</v>
      </c>
      <c r="H470" t="s">
        <v>15</v>
      </c>
      <c r="I470" t="s">
        <v>31</v>
      </c>
      <c r="J470" t="s">
        <v>17</v>
      </c>
      <c r="K470" t="s">
        <v>45</v>
      </c>
      <c r="L470" t="str">
        <f t="shared" si="14"/>
        <v>Mar</v>
      </c>
      <c r="M470" t="str">
        <f t="shared" si="15"/>
        <v>Friday</v>
      </c>
    </row>
    <row r="471" spans="1:13">
      <c r="A471" t="s">
        <v>706</v>
      </c>
      <c r="B471" t="s">
        <v>79</v>
      </c>
      <c r="C471" t="s">
        <v>70</v>
      </c>
      <c r="D471" t="s">
        <v>29</v>
      </c>
      <c r="E471">
        <v>799</v>
      </c>
      <c r="F471">
        <v>2</v>
      </c>
      <c r="G471">
        <v>1598</v>
      </c>
      <c r="H471" t="s">
        <v>95</v>
      </c>
      <c r="I471" t="s">
        <v>105</v>
      </c>
      <c r="J471" t="s">
        <v>38</v>
      </c>
      <c r="K471" t="s">
        <v>18</v>
      </c>
      <c r="L471" t="str">
        <f t="shared" si="14"/>
        <v>Jan</v>
      </c>
      <c r="M471" t="str">
        <f t="shared" si="15"/>
        <v>Wednesday</v>
      </c>
    </row>
    <row r="472" spans="1:13">
      <c r="A472" t="s">
        <v>707</v>
      </c>
      <c r="B472" t="s">
        <v>92</v>
      </c>
      <c r="C472" t="s">
        <v>101</v>
      </c>
      <c r="D472" t="s">
        <v>81</v>
      </c>
      <c r="E472">
        <v>499</v>
      </c>
      <c r="F472">
        <v>2</v>
      </c>
      <c r="G472">
        <v>998</v>
      </c>
      <c r="H472" t="s">
        <v>43</v>
      </c>
      <c r="I472" t="s">
        <v>77</v>
      </c>
      <c r="J472" t="s">
        <v>17</v>
      </c>
      <c r="K472" t="s">
        <v>45</v>
      </c>
      <c r="L472" t="str">
        <f t="shared" si="14"/>
        <v>Feb</v>
      </c>
      <c r="M472" t="str">
        <f t="shared" si="15"/>
        <v>Saturday</v>
      </c>
    </row>
    <row r="473" spans="1:13">
      <c r="A473" t="s">
        <v>708</v>
      </c>
      <c r="B473" t="s">
        <v>709</v>
      </c>
      <c r="C473" t="s">
        <v>52</v>
      </c>
      <c r="D473" t="s">
        <v>53</v>
      </c>
      <c r="E473">
        <v>199</v>
      </c>
      <c r="F473">
        <v>4</v>
      </c>
      <c r="G473">
        <v>796</v>
      </c>
      <c r="H473" t="s">
        <v>43</v>
      </c>
      <c r="I473" t="s">
        <v>63</v>
      </c>
      <c r="J473" t="s">
        <v>32</v>
      </c>
      <c r="K473" t="s">
        <v>45</v>
      </c>
      <c r="L473" t="str">
        <f t="shared" si="14"/>
        <v>Apr</v>
      </c>
      <c r="M473" t="str">
        <f t="shared" si="15"/>
        <v>Friday</v>
      </c>
    </row>
    <row r="474" spans="1:13">
      <c r="A474" t="s">
        <v>710</v>
      </c>
      <c r="B474" t="s">
        <v>598</v>
      </c>
      <c r="C474" t="s">
        <v>135</v>
      </c>
      <c r="D474" t="s">
        <v>29</v>
      </c>
      <c r="E474">
        <v>3999</v>
      </c>
      <c r="F474">
        <v>1</v>
      </c>
      <c r="G474">
        <v>3999</v>
      </c>
      <c r="H474" t="s">
        <v>43</v>
      </c>
      <c r="I474" t="s">
        <v>16</v>
      </c>
      <c r="J474" t="s">
        <v>90</v>
      </c>
      <c r="K474" t="s">
        <v>18</v>
      </c>
      <c r="L474" t="str">
        <f t="shared" si="14"/>
        <v>Jun</v>
      </c>
      <c r="M474" t="str">
        <f t="shared" si="15"/>
        <v>Thursday</v>
      </c>
    </row>
    <row r="475" spans="1:13">
      <c r="A475" t="s">
        <v>711</v>
      </c>
      <c r="B475" t="s">
        <v>212</v>
      </c>
      <c r="C475" t="s">
        <v>13</v>
      </c>
      <c r="D475" t="s">
        <v>14</v>
      </c>
      <c r="E475">
        <v>2499</v>
      </c>
      <c r="F475">
        <v>1</v>
      </c>
      <c r="G475">
        <v>2499</v>
      </c>
      <c r="H475" t="s">
        <v>89</v>
      </c>
      <c r="I475" t="s">
        <v>82</v>
      </c>
      <c r="J475" t="s">
        <v>32</v>
      </c>
      <c r="K475" t="s">
        <v>18</v>
      </c>
      <c r="L475" t="str">
        <f t="shared" si="14"/>
        <v>Mar</v>
      </c>
      <c r="M475" t="str">
        <f t="shared" si="15"/>
        <v>Monday</v>
      </c>
    </row>
    <row r="476" spans="1:13">
      <c r="A476" t="s">
        <v>712</v>
      </c>
      <c r="B476" t="s">
        <v>274</v>
      </c>
      <c r="C476" t="s">
        <v>28</v>
      </c>
      <c r="D476" t="s">
        <v>29</v>
      </c>
      <c r="E476">
        <v>1299</v>
      </c>
      <c r="F476">
        <v>5</v>
      </c>
      <c r="G476">
        <v>6495</v>
      </c>
      <c r="H476" t="s">
        <v>71</v>
      </c>
      <c r="I476" t="s">
        <v>125</v>
      </c>
      <c r="J476" t="s">
        <v>25</v>
      </c>
      <c r="K476" t="s">
        <v>18</v>
      </c>
      <c r="L476" t="str">
        <f t="shared" si="14"/>
        <v>Mar</v>
      </c>
      <c r="M476" t="str">
        <f t="shared" si="15"/>
        <v>Sunday</v>
      </c>
    </row>
    <row r="477" spans="1:13">
      <c r="A477" t="s">
        <v>713</v>
      </c>
      <c r="B477" t="s">
        <v>630</v>
      </c>
      <c r="C477" t="s">
        <v>135</v>
      </c>
      <c r="D477" t="s">
        <v>29</v>
      </c>
      <c r="E477">
        <v>3999</v>
      </c>
      <c r="F477">
        <v>5</v>
      </c>
      <c r="G477">
        <v>19995</v>
      </c>
      <c r="H477" t="s">
        <v>37</v>
      </c>
      <c r="I477" t="s">
        <v>125</v>
      </c>
      <c r="J477" t="s">
        <v>32</v>
      </c>
      <c r="K477" t="s">
        <v>18</v>
      </c>
      <c r="L477" t="str">
        <f t="shared" si="14"/>
        <v>Jan</v>
      </c>
      <c r="M477" t="str">
        <f t="shared" si="15"/>
        <v>Monday</v>
      </c>
    </row>
    <row r="478" spans="1:13">
      <c r="A478" t="s">
        <v>714</v>
      </c>
      <c r="B478" t="s">
        <v>118</v>
      </c>
      <c r="C478" t="s">
        <v>162</v>
      </c>
      <c r="D478" t="s">
        <v>29</v>
      </c>
      <c r="E478">
        <v>1799</v>
      </c>
      <c r="F478">
        <v>3</v>
      </c>
      <c r="G478">
        <v>5397</v>
      </c>
      <c r="H478" t="s">
        <v>186</v>
      </c>
      <c r="I478" t="s">
        <v>16</v>
      </c>
      <c r="J478" t="s">
        <v>38</v>
      </c>
      <c r="K478" t="s">
        <v>45</v>
      </c>
      <c r="L478" t="str">
        <f t="shared" si="14"/>
        <v>May</v>
      </c>
      <c r="M478" t="str">
        <f t="shared" si="15"/>
        <v>Thursday</v>
      </c>
    </row>
    <row r="479" spans="1:13">
      <c r="A479" t="s">
        <v>715</v>
      </c>
      <c r="B479" t="s">
        <v>132</v>
      </c>
      <c r="C479" t="s">
        <v>13</v>
      </c>
      <c r="D479" t="s">
        <v>14</v>
      </c>
      <c r="E479">
        <v>2499</v>
      </c>
      <c r="F479">
        <v>2</v>
      </c>
      <c r="G479">
        <v>4998</v>
      </c>
      <c r="H479" t="s">
        <v>43</v>
      </c>
      <c r="I479" t="s">
        <v>63</v>
      </c>
      <c r="J479" t="s">
        <v>90</v>
      </c>
      <c r="K479" t="s">
        <v>18</v>
      </c>
      <c r="L479" t="str">
        <f t="shared" si="14"/>
        <v>Mar</v>
      </c>
      <c r="M479" t="str">
        <f t="shared" si="15"/>
        <v>Friday</v>
      </c>
    </row>
    <row r="480" spans="1:13">
      <c r="A480" t="s">
        <v>716</v>
      </c>
      <c r="B480" t="s">
        <v>141</v>
      </c>
      <c r="C480" t="s">
        <v>13</v>
      </c>
      <c r="D480" t="s">
        <v>14</v>
      </c>
      <c r="E480">
        <v>2499</v>
      </c>
      <c r="F480">
        <v>4</v>
      </c>
      <c r="G480">
        <v>9996</v>
      </c>
      <c r="H480" t="s">
        <v>71</v>
      </c>
      <c r="I480" t="s">
        <v>57</v>
      </c>
      <c r="J480" t="s">
        <v>17</v>
      </c>
      <c r="K480" t="s">
        <v>18</v>
      </c>
      <c r="L480" t="str">
        <f t="shared" si="14"/>
        <v>May</v>
      </c>
      <c r="M480" t="str">
        <f t="shared" si="15"/>
        <v>Wednesday</v>
      </c>
    </row>
    <row r="481" spans="1:13">
      <c r="A481" t="s">
        <v>717</v>
      </c>
      <c r="B481" t="s">
        <v>429</v>
      </c>
      <c r="C481" t="s">
        <v>101</v>
      </c>
      <c r="D481" t="s">
        <v>81</v>
      </c>
      <c r="E481">
        <v>499</v>
      </c>
      <c r="F481">
        <v>1</v>
      </c>
      <c r="G481">
        <v>499</v>
      </c>
      <c r="H481" t="s">
        <v>37</v>
      </c>
      <c r="I481" t="s">
        <v>44</v>
      </c>
      <c r="J481" t="s">
        <v>32</v>
      </c>
      <c r="K481" t="s">
        <v>45</v>
      </c>
      <c r="L481" t="str">
        <f t="shared" si="14"/>
        <v>Apr</v>
      </c>
      <c r="M481" t="str">
        <f t="shared" si="15"/>
        <v>Wednesday</v>
      </c>
    </row>
    <row r="482" spans="1:13">
      <c r="A482" t="s">
        <v>718</v>
      </c>
      <c r="B482" t="s">
        <v>121</v>
      </c>
      <c r="C482" t="s">
        <v>122</v>
      </c>
      <c r="D482" t="s">
        <v>29</v>
      </c>
      <c r="E482">
        <v>1299</v>
      </c>
      <c r="F482">
        <v>1</v>
      </c>
      <c r="G482">
        <v>1299</v>
      </c>
      <c r="H482" t="s">
        <v>95</v>
      </c>
      <c r="I482" t="s">
        <v>63</v>
      </c>
      <c r="J482" t="s">
        <v>38</v>
      </c>
      <c r="K482" t="s">
        <v>18</v>
      </c>
      <c r="L482" t="str">
        <f t="shared" si="14"/>
        <v>Jan</v>
      </c>
      <c r="M482" t="str">
        <f t="shared" si="15"/>
        <v>Wednesday</v>
      </c>
    </row>
    <row r="483" spans="1:13">
      <c r="A483" t="s">
        <v>719</v>
      </c>
      <c r="B483" t="s">
        <v>113</v>
      </c>
      <c r="C483" t="s">
        <v>60</v>
      </c>
      <c r="D483" t="s">
        <v>61</v>
      </c>
      <c r="E483">
        <v>899</v>
      </c>
      <c r="F483">
        <v>2</v>
      </c>
      <c r="G483">
        <v>1798</v>
      </c>
      <c r="H483" t="s">
        <v>62</v>
      </c>
      <c r="I483" t="s">
        <v>105</v>
      </c>
      <c r="J483" t="s">
        <v>25</v>
      </c>
      <c r="K483" t="s">
        <v>18</v>
      </c>
      <c r="L483" t="str">
        <f t="shared" si="14"/>
        <v>May</v>
      </c>
      <c r="M483" t="str">
        <f t="shared" si="15"/>
        <v>Monday</v>
      </c>
    </row>
    <row r="484" spans="1:13">
      <c r="A484" t="s">
        <v>720</v>
      </c>
      <c r="B484" t="s">
        <v>183</v>
      </c>
      <c r="C484" t="s">
        <v>135</v>
      </c>
      <c r="D484" t="s">
        <v>29</v>
      </c>
      <c r="E484">
        <v>3999</v>
      </c>
      <c r="F484">
        <v>2</v>
      </c>
      <c r="G484">
        <v>7998</v>
      </c>
      <c r="H484" t="s">
        <v>71</v>
      </c>
      <c r="I484" t="s">
        <v>125</v>
      </c>
      <c r="J484" t="s">
        <v>17</v>
      </c>
      <c r="K484" t="s">
        <v>18</v>
      </c>
      <c r="L484" t="str">
        <f t="shared" si="14"/>
        <v>Jan</v>
      </c>
      <c r="M484" t="str">
        <f t="shared" si="15"/>
        <v>Tuesday</v>
      </c>
    </row>
    <row r="485" spans="1:13">
      <c r="A485" t="s">
        <v>721</v>
      </c>
      <c r="B485" t="s">
        <v>568</v>
      </c>
      <c r="C485" t="s">
        <v>70</v>
      </c>
      <c r="D485" t="s">
        <v>29</v>
      </c>
      <c r="E485">
        <v>799</v>
      </c>
      <c r="F485">
        <v>5</v>
      </c>
      <c r="G485">
        <v>3995</v>
      </c>
      <c r="H485" t="s">
        <v>62</v>
      </c>
      <c r="I485" t="s">
        <v>125</v>
      </c>
      <c r="J485" t="s">
        <v>38</v>
      </c>
      <c r="K485" t="s">
        <v>18</v>
      </c>
      <c r="L485" t="str">
        <f t="shared" si="14"/>
        <v>May</v>
      </c>
      <c r="M485" t="str">
        <f t="shared" si="15"/>
        <v>Sunday</v>
      </c>
    </row>
    <row r="486" spans="1:13">
      <c r="A486" t="s">
        <v>722</v>
      </c>
      <c r="B486" t="s">
        <v>450</v>
      </c>
      <c r="C486" t="s">
        <v>13</v>
      </c>
      <c r="D486" t="s">
        <v>14</v>
      </c>
      <c r="E486">
        <v>2499</v>
      </c>
      <c r="F486">
        <v>1</v>
      </c>
      <c r="G486">
        <v>2499</v>
      </c>
      <c r="H486" t="s">
        <v>30</v>
      </c>
      <c r="I486" t="s">
        <v>57</v>
      </c>
      <c r="J486" t="s">
        <v>32</v>
      </c>
      <c r="K486" t="s">
        <v>45</v>
      </c>
      <c r="L486" t="str">
        <f t="shared" si="14"/>
        <v>Jan</v>
      </c>
      <c r="M486" t="str">
        <f t="shared" si="15"/>
        <v>Saturday</v>
      </c>
    </row>
    <row r="487" spans="1:13">
      <c r="A487" t="s">
        <v>723</v>
      </c>
      <c r="B487" t="s">
        <v>272</v>
      </c>
      <c r="C487" t="s">
        <v>87</v>
      </c>
      <c r="D487" t="s">
        <v>88</v>
      </c>
      <c r="E487">
        <v>5499</v>
      </c>
      <c r="F487">
        <v>1</v>
      </c>
      <c r="G487">
        <v>5499</v>
      </c>
      <c r="H487" t="s">
        <v>71</v>
      </c>
      <c r="I487" t="s">
        <v>98</v>
      </c>
      <c r="J487" t="s">
        <v>32</v>
      </c>
      <c r="K487" t="s">
        <v>18</v>
      </c>
      <c r="L487" t="str">
        <f t="shared" si="14"/>
        <v>Feb</v>
      </c>
      <c r="M487" t="str">
        <f t="shared" si="15"/>
        <v>Monday</v>
      </c>
    </row>
    <row r="488" spans="1:13">
      <c r="A488" t="s">
        <v>724</v>
      </c>
      <c r="B488" t="s">
        <v>276</v>
      </c>
      <c r="C488" t="s">
        <v>60</v>
      </c>
      <c r="D488" t="s">
        <v>61</v>
      </c>
      <c r="E488">
        <v>899</v>
      </c>
      <c r="F488">
        <v>4</v>
      </c>
      <c r="G488">
        <v>3596</v>
      </c>
      <c r="H488" t="s">
        <v>23</v>
      </c>
      <c r="I488" t="s">
        <v>63</v>
      </c>
      <c r="J488" t="s">
        <v>17</v>
      </c>
      <c r="K488" t="s">
        <v>18</v>
      </c>
      <c r="L488" t="str">
        <f t="shared" si="14"/>
        <v>Feb</v>
      </c>
      <c r="M488" t="str">
        <f t="shared" si="15"/>
        <v>Saturday</v>
      </c>
    </row>
    <row r="489" spans="1:13">
      <c r="A489" t="s">
        <v>725</v>
      </c>
      <c r="B489" t="s">
        <v>568</v>
      </c>
      <c r="C489" t="s">
        <v>135</v>
      </c>
      <c r="D489" t="s">
        <v>29</v>
      </c>
      <c r="E489">
        <v>3999</v>
      </c>
      <c r="F489">
        <v>5</v>
      </c>
      <c r="G489">
        <v>19995</v>
      </c>
      <c r="H489" t="s">
        <v>23</v>
      </c>
      <c r="I489" t="s">
        <v>67</v>
      </c>
      <c r="J489" t="s">
        <v>25</v>
      </c>
      <c r="K489" t="s">
        <v>18</v>
      </c>
      <c r="L489" t="str">
        <f t="shared" si="14"/>
        <v>May</v>
      </c>
      <c r="M489" t="str">
        <f t="shared" si="15"/>
        <v>Sunday</v>
      </c>
    </row>
    <row r="490" spans="1:13">
      <c r="A490" t="s">
        <v>726</v>
      </c>
      <c r="B490" t="s">
        <v>472</v>
      </c>
      <c r="C490" t="s">
        <v>48</v>
      </c>
      <c r="D490" t="s">
        <v>49</v>
      </c>
      <c r="E490">
        <v>699</v>
      </c>
      <c r="F490">
        <v>4</v>
      </c>
      <c r="G490">
        <v>2796</v>
      </c>
      <c r="H490" t="s">
        <v>30</v>
      </c>
      <c r="I490" t="s">
        <v>57</v>
      </c>
      <c r="J490" t="s">
        <v>25</v>
      </c>
      <c r="K490" t="s">
        <v>18</v>
      </c>
      <c r="L490" t="str">
        <f t="shared" si="14"/>
        <v>Jun</v>
      </c>
      <c r="M490" t="str">
        <f t="shared" si="15"/>
        <v>Thursday</v>
      </c>
    </row>
    <row r="491" spans="1:13">
      <c r="A491" t="s">
        <v>727</v>
      </c>
      <c r="B491" t="s">
        <v>295</v>
      </c>
      <c r="C491" t="s">
        <v>28</v>
      </c>
      <c r="D491" t="s">
        <v>29</v>
      </c>
      <c r="E491">
        <v>1299</v>
      </c>
      <c r="F491">
        <v>3</v>
      </c>
      <c r="G491">
        <v>3897</v>
      </c>
      <c r="H491" t="s">
        <v>71</v>
      </c>
      <c r="I491" t="s">
        <v>67</v>
      </c>
      <c r="J491" t="s">
        <v>90</v>
      </c>
      <c r="K491" t="s">
        <v>18</v>
      </c>
      <c r="L491" t="str">
        <f t="shared" si="14"/>
        <v>May</v>
      </c>
      <c r="M491" t="str">
        <f t="shared" si="15"/>
        <v>Tuesday</v>
      </c>
    </row>
    <row r="492" spans="1:13">
      <c r="A492" t="s">
        <v>728</v>
      </c>
      <c r="B492" t="s">
        <v>442</v>
      </c>
      <c r="C492" t="s">
        <v>76</v>
      </c>
      <c r="D492" t="s">
        <v>49</v>
      </c>
      <c r="E492">
        <v>1599</v>
      </c>
      <c r="F492">
        <v>1</v>
      </c>
      <c r="G492">
        <v>1599</v>
      </c>
      <c r="H492" t="s">
        <v>95</v>
      </c>
      <c r="I492" t="s">
        <v>24</v>
      </c>
      <c r="J492" t="s">
        <v>25</v>
      </c>
      <c r="K492" t="s">
        <v>33</v>
      </c>
      <c r="L492" t="str">
        <f t="shared" si="14"/>
        <v>Apr</v>
      </c>
      <c r="M492" t="str">
        <f t="shared" si="15"/>
        <v>Wednesday</v>
      </c>
    </row>
    <row r="493" spans="1:13">
      <c r="A493" t="s">
        <v>729</v>
      </c>
      <c r="B493" t="s">
        <v>356</v>
      </c>
      <c r="C493" t="s">
        <v>135</v>
      </c>
      <c r="D493" t="s">
        <v>29</v>
      </c>
      <c r="E493">
        <v>3999</v>
      </c>
      <c r="F493">
        <v>3</v>
      </c>
      <c r="G493">
        <v>11997</v>
      </c>
      <c r="H493" t="s">
        <v>43</v>
      </c>
      <c r="I493" t="s">
        <v>67</v>
      </c>
      <c r="J493" t="s">
        <v>90</v>
      </c>
      <c r="K493" t="s">
        <v>18</v>
      </c>
      <c r="L493" t="str">
        <f t="shared" si="14"/>
        <v>Feb</v>
      </c>
      <c r="M493" t="str">
        <f t="shared" si="15"/>
        <v>Wednesday</v>
      </c>
    </row>
    <row r="494" spans="1:13">
      <c r="A494" t="s">
        <v>730</v>
      </c>
      <c r="B494" t="s">
        <v>429</v>
      </c>
      <c r="C494" t="s">
        <v>76</v>
      </c>
      <c r="D494" t="s">
        <v>49</v>
      </c>
      <c r="E494">
        <v>1599</v>
      </c>
      <c r="F494">
        <v>5</v>
      </c>
      <c r="G494">
        <v>7995</v>
      </c>
      <c r="H494" t="s">
        <v>23</v>
      </c>
      <c r="I494" t="s">
        <v>77</v>
      </c>
      <c r="J494" t="s">
        <v>32</v>
      </c>
      <c r="K494" t="s">
        <v>18</v>
      </c>
      <c r="L494" t="str">
        <f t="shared" si="14"/>
        <v>Apr</v>
      </c>
      <c r="M494" t="str">
        <f t="shared" si="15"/>
        <v>Wednesday</v>
      </c>
    </row>
    <row r="495" spans="1:13">
      <c r="A495" t="s">
        <v>731</v>
      </c>
      <c r="B495" t="s">
        <v>205</v>
      </c>
      <c r="C495" t="s">
        <v>87</v>
      </c>
      <c r="D495" t="s">
        <v>88</v>
      </c>
      <c r="E495">
        <v>5499</v>
      </c>
      <c r="F495">
        <v>3</v>
      </c>
      <c r="G495">
        <v>16497</v>
      </c>
      <c r="H495" t="s">
        <v>102</v>
      </c>
      <c r="I495" t="s">
        <v>125</v>
      </c>
      <c r="J495" t="s">
        <v>38</v>
      </c>
      <c r="K495" t="s">
        <v>18</v>
      </c>
      <c r="L495" t="str">
        <f t="shared" si="14"/>
        <v>Jan</v>
      </c>
      <c r="M495" t="str">
        <f t="shared" si="15"/>
        <v>Wednesday</v>
      </c>
    </row>
    <row r="496" spans="1:13">
      <c r="A496" t="s">
        <v>732</v>
      </c>
      <c r="B496" t="s">
        <v>267</v>
      </c>
      <c r="C496" t="s">
        <v>87</v>
      </c>
      <c r="D496" t="s">
        <v>88</v>
      </c>
      <c r="E496">
        <v>5499</v>
      </c>
      <c r="F496">
        <v>4</v>
      </c>
      <c r="G496">
        <v>21996</v>
      </c>
      <c r="H496" t="s">
        <v>23</v>
      </c>
      <c r="I496" t="s">
        <v>105</v>
      </c>
      <c r="J496" t="s">
        <v>25</v>
      </c>
      <c r="K496" t="s">
        <v>45</v>
      </c>
      <c r="L496" t="str">
        <f t="shared" si="14"/>
        <v>Mar</v>
      </c>
      <c r="M496" t="str">
        <f t="shared" si="15"/>
        <v>Saturday</v>
      </c>
    </row>
    <row r="497" spans="1:13">
      <c r="A497" t="s">
        <v>733</v>
      </c>
      <c r="B497" t="s">
        <v>260</v>
      </c>
      <c r="C497" t="s">
        <v>87</v>
      </c>
      <c r="D497" t="s">
        <v>88</v>
      </c>
      <c r="E497">
        <v>5499</v>
      </c>
      <c r="F497">
        <v>2</v>
      </c>
      <c r="G497">
        <v>10998</v>
      </c>
      <c r="H497" t="s">
        <v>23</v>
      </c>
      <c r="I497" t="s">
        <v>24</v>
      </c>
      <c r="J497" t="s">
        <v>25</v>
      </c>
      <c r="K497" t="s">
        <v>18</v>
      </c>
      <c r="L497" t="str">
        <f t="shared" si="14"/>
        <v>Jun</v>
      </c>
      <c r="M497" t="str">
        <f t="shared" si="15"/>
        <v>Wednesday</v>
      </c>
    </row>
    <row r="498" spans="1:13">
      <c r="A498" t="s">
        <v>734</v>
      </c>
      <c r="B498" t="s">
        <v>447</v>
      </c>
      <c r="C498" t="s">
        <v>36</v>
      </c>
      <c r="D498" t="s">
        <v>29</v>
      </c>
      <c r="E498">
        <v>1999</v>
      </c>
      <c r="F498">
        <v>5</v>
      </c>
      <c r="G498">
        <v>9995</v>
      </c>
      <c r="H498" t="s">
        <v>37</v>
      </c>
      <c r="I498" t="s">
        <v>24</v>
      </c>
      <c r="J498" t="s">
        <v>38</v>
      </c>
      <c r="K498" t="s">
        <v>18</v>
      </c>
      <c r="L498" t="str">
        <f t="shared" si="14"/>
        <v>May</v>
      </c>
      <c r="M498" t="str">
        <f t="shared" si="15"/>
        <v>Friday</v>
      </c>
    </row>
    <row r="499" spans="1:13">
      <c r="A499" t="s">
        <v>735</v>
      </c>
      <c r="B499" t="s">
        <v>196</v>
      </c>
      <c r="C499" t="s">
        <v>101</v>
      </c>
      <c r="D499" t="s">
        <v>81</v>
      </c>
      <c r="E499">
        <v>499</v>
      </c>
      <c r="F499">
        <v>4</v>
      </c>
      <c r="G499">
        <v>1996</v>
      </c>
      <c r="H499" t="s">
        <v>56</v>
      </c>
      <c r="I499" t="s">
        <v>31</v>
      </c>
      <c r="J499" t="s">
        <v>25</v>
      </c>
      <c r="K499" t="s">
        <v>18</v>
      </c>
      <c r="L499" t="str">
        <f t="shared" si="14"/>
        <v>May</v>
      </c>
      <c r="M499" t="str">
        <f t="shared" si="15"/>
        <v>Friday</v>
      </c>
    </row>
    <row r="500" spans="1:13">
      <c r="A500" t="s">
        <v>736</v>
      </c>
      <c r="B500" t="s">
        <v>20</v>
      </c>
      <c r="C500" t="s">
        <v>13</v>
      </c>
      <c r="D500" t="s">
        <v>14</v>
      </c>
      <c r="E500">
        <v>2499</v>
      </c>
      <c r="F500">
        <v>2</v>
      </c>
      <c r="G500">
        <v>4998</v>
      </c>
      <c r="H500" t="s">
        <v>157</v>
      </c>
      <c r="I500" t="s">
        <v>57</v>
      </c>
      <c r="J500" t="s">
        <v>38</v>
      </c>
      <c r="K500" t="s">
        <v>18</v>
      </c>
      <c r="L500" t="str">
        <f t="shared" si="14"/>
        <v>Jun</v>
      </c>
      <c r="M500" t="str">
        <f t="shared" si="15"/>
        <v>Friday</v>
      </c>
    </row>
    <row r="501" spans="1:13">
      <c r="A501" t="s">
        <v>737</v>
      </c>
      <c r="B501" t="s">
        <v>150</v>
      </c>
      <c r="C501" t="s">
        <v>36</v>
      </c>
      <c r="D501" t="s">
        <v>29</v>
      </c>
      <c r="E501">
        <v>1999</v>
      </c>
      <c r="F501">
        <v>1</v>
      </c>
      <c r="G501">
        <v>1999</v>
      </c>
      <c r="H501" t="s">
        <v>56</v>
      </c>
      <c r="I501" t="s">
        <v>31</v>
      </c>
      <c r="J501" t="s">
        <v>32</v>
      </c>
      <c r="K501" t="s">
        <v>18</v>
      </c>
      <c r="L501" t="str">
        <f t="shared" si="14"/>
        <v>Feb</v>
      </c>
      <c r="M501" t="str">
        <f t="shared" si="15"/>
        <v>Sunday</v>
      </c>
    </row>
    <row r="502" spans="1:13">
      <c r="A502" t="s">
        <v>738</v>
      </c>
      <c r="B502" t="s">
        <v>234</v>
      </c>
      <c r="C502" t="s">
        <v>101</v>
      </c>
      <c r="D502" t="s">
        <v>81</v>
      </c>
      <c r="E502">
        <v>499</v>
      </c>
      <c r="F502">
        <v>1</v>
      </c>
      <c r="G502">
        <v>499</v>
      </c>
      <c r="H502" t="s">
        <v>89</v>
      </c>
      <c r="I502" t="s">
        <v>67</v>
      </c>
      <c r="J502" t="s">
        <v>32</v>
      </c>
      <c r="K502" t="s">
        <v>18</v>
      </c>
      <c r="L502" t="str">
        <f t="shared" si="14"/>
        <v>Mar</v>
      </c>
      <c r="M502" t="str">
        <f t="shared" si="15"/>
        <v>Monday</v>
      </c>
    </row>
    <row r="503" spans="1:13">
      <c r="A503" t="s">
        <v>739</v>
      </c>
      <c r="B503" t="s">
        <v>269</v>
      </c>
      <c r="C503" t="s">
        <v>135</v>
      </c>
      <c r="D503" t="s">
        <v>29</v>
      </c>
      <c r="E503">
        <v>3999</v>
      </c>
      <c r="F503">
        <v>1</v>
      </c>
      <c r="G503">
        <v>3999</v>
      </c>
      <c r="H503" t="s">
        <v>43</v>
      </c>
      <c r="I503" t="s">
        <v>98</v>
      </c>
      <c r="J503" t="s">
        <v>32</v>
      </c>
      <c r="K503" t="s">
        <v>18</v>
      </c>
      <c r="L503" t="str">
        <f t="shared" si="14"/>
        <v>Jan</v>
      </c>
      <c r="M503" t="str">
        <f t="shared" si="15"/>
        <v>Saturday</v>
      </c>
    </row>
    <row r="504" spans="1:13">
      <c r="A504" t="s">
        <v>740</v>
      </c>
      <c r="B504" t="s">
        <v>94</v>
      </c>
      <c r="C504" t="s">
        <v>87</v>
      </c>
      <c r="D504" t="s">
        <v>88</v>
      </c>
      <c r="E504">
        <v>5499</v>
      </c>
      <c r="F504">
        <v>2</v>
      </c>
      <c r="G504">
        <v>10998</v>
      </c>
      <c r="H504" t="s">
        <v>66</v>
      </c>
      <c r="I504" t="s">
        <v>98</v>
      </c>
      <c r="J504" t="s">
        <v>38</v>
      </c>
      <c r="K504" t="s">
        <v>18</v>
      </c>
      <c r="L504" t="str">
        <f t="shared" si="14"/>
        <v>Jun</v>
      </c>
      <c r="M504" t="str">
        <f t="shared" si="15"/>
        <v>Saturday</v>
      </c>
    </row>
    <row r="505" spans="1:13">
      <c r="A505" t="s">
        <v>741</v>
      </c>
      <c r="B505" t="s">
        <v>215</v>
      </c>
      <c r="C505" t="s">
        <v>60</v>
      </c>
      <c r="D505" t="s">
        <v>61</v>
      </c>
      <c r="E505">
        <v>899</v>
      </c>
      <c r="F505">
        <v>2</v>
      </c>
      <c r="G505">
        <v>1798</v>
      </c>
      <c r="H505" t="s">
        <v>37</v>
      </c>
      <c r="I505" t="s">
        <v>67</v>
      </c>
      <c r="J505" t="s">
        <v>90</v>
      </c>
      <c r="K505" t="s">
        <v>33</v>
      </c>
      <c r="L505" t="str">
        <f t="shared" si="14"/>
        <v>Jan</v>
      </c>
      <c r="M505" t="str">
        <f t="shared" si="15"/>
        <v>Saturday</v>
      </c>
    </row>
    <row r="506" spans="1:13">
      <c r="A506" t="s">
        <v>742</v>
      </c>
      <c r="B506" t="s">
        <v>291</v>
      </c>
      <c r="C506" t="s">
        <v>60</v>
      </c>
      <c r="D506" t="s">
        <v>61</v>
      </c>
      <c r="E506">
        <v>899</v>
      </c>
      <c r="F506">
        <v>1</v>
      </c>
      <c r="G506">
        <v>899</v>
      </c>
      <c r="H506" t="s">
        <v>30</v>
      </c>
      <c r="I506" t="s">
        <v>16</v>
      </c>
      <c r="J506" t="s">
        <v>32</v>
      </c>
      <c r="K506" t="s">
        <v>45</v>
      </c>
      <c r="L506" t="str">
        <f t="shared" si="14"/>
        <v>Apr</v>
      </c>
      <c r="M506" t="str">
        <f t="shared" si="15"/>
        <v>Saturday</v>
      </c>
    </row>
    <row r="507" spans="1:13">
      <c r="A507" t="s">
        <v>743</v>
      </c>
      <c r="B507" t="s">
        <v>630</v>
      </c>
      <c r="C507" t="s">
        <v>122</v>
      </c>
      <c r="D507" t="s">
        <v>29</v>
      </c>
      <c r="E507">
        <v>1299</v>
      </c>
      <c r="F507">
        <v>5</v>
      </c>
      <c r="G507">
        <v>6495</v>
      </c>
      <c r="H507" t="s">
        <v>66</v>
      </c>
      <c r="I507" t="s">
        <v>31</v>
      </c>
      <c r="J507" t="s">
        <v>17</v>
      </c>
      <c r="K507" t="s">
        <v>18</v>
      </c>
      <c r="L507" t="str">
        <f t="shared" si="14"/>
        <v>Jan</v>
      </c>
      <c r="M507" t="str">
        <f t="shared" si="15"/>
        <v>Monday</v>
      </c>
    </row>
    <row r="508" spans="1:13">
      <c r="A508" t="s">
        <v>744</v>
      </c>
      <c r="B508" t="s">
        <v>745</v>
      </c>
      <c r="C508" t="s">
        <v>76</v>
      </c>
      <c r="D508" t="s">
        <v>49</v>
      </c>
      <c r="E508">
        <v>1599</v>
      </c>
      <c r="F508">
        <v>4</v>
      </c>
      <c r="G508">
        <v>6396</v>
      </c>
      <c r="H508" t="s">
        <v>43</v>
      </c>
      <c r="I508" t="s">
        <v>16</v>
      </c>
      <c r="J508" t="s">
        <v>90</v>
      </c>
      <c r="K508" t="s">
        <v>18</v>
      </c>
      <c r="L508" t="str">
        <f t="shared" si="14"/>
        <v>Apr</v>
      </c>
      <c r="M508" t="str">
        <f t="shared" si="15"/>
        <v>Friday</v>
      </c>
    </row>
    <row r="509" spans="1:13">
      <c r="A509" t="s">
        <v>746</v>
      </c>
      <c r="B509" t="s">
        <v>20</v>
      </c>
      <c r="C509" t="s">
        <v>36</v>
      </c>
      <c r="D509" t="s">
        <v>29</v>
      </c>
      <c r="E509">
        <v>1999</v>
      </c>
      <c r="F509">
        <v>3</v>
      </c>
      <c r="G509">
        <v>5997</v>
      </c>
      <c r="H509" t="s">
        <v>119</v>
      </c>
      <c r="I509" t="s">
        <v>82</v>
      </c>
      <c r="J509" t="s">
        <v>38</v>
      </c>
      <c r="K509" t="s">
        <v>45</v>
      </c>
      <c r="L509" t="str">
        <f t="shared" si="14"/>
        <v>Jun</v>
      </c>
      <c r="M509" t="str">
        <f t="shared" si="15"/>
        <v>Friday</v>
      </c>
    </row>
    <row r="510" spans="1:13">
      <c r="A510" t="s">
        <v>747</v>
      </c>
      <c r="B510" t="s">
        <v>748</v>
      </c>
      <c r="C510" t="s">
        <v>60</v>
      </c>
      <c r="D510" t="s">
        <v>61</v>
      </c>
      <c r="E510">
        <v>899</v>
      </c>
      <c r="F510">
        <v>2</v>
      </c>
      <c r="G510">
        <v>1798</v>
      </c>
      <c r="H510" t="s">
        <v>71</v>
      </c>
      <c r="I510" t="s">
        <v>44</v>
      </c>
      <c r="J510" t="s">
        <v>32</v>
      </c>
      <c r="K510" t="s">
        <v>18</v>
      </c>
      <c r="L510" t="str">
        <f t="shared" si="14"/>
        <v>Mar</v>
      </c>
      <c r="M510" t="str">
        <f t="shared" si="15"/>
        <v>Tuesday</v>
      </c>
    </row>
    <row r="511" spans="1:13">
      <c r="A511" t="s">
        <v>749</v>
      </c>
      <c r="B511" t="s">
        <v>512</v>
      </c>
      <c r="C511" t="s">
        <v>48</v>
      </c>
      <c r="D511" t="s">
        <v>49</v>
      </c>
      <c r="E511">
        <v>699</v>
      </c>
      <c r="F511">
        <v>3</v>
      </c>
      <c r="G511">
        <v>2097</v>
      </c>
      <c r="H511" t="s">
        <v>102</v>
      </c>
      <c r="I511" t="s">
        <v>57</v>
      </c>
      <c r="J511" t="s">
        <v>25</v>
      </c>
      <c r="K511" t="s">
        <v>18</v>
      </c>
      <c r="L511" t="str">
        <f t="shared" si="14"/>
        <v>Mar</v>
      </c>
      <c r="M511" t="str">
        <f t="shared" si="15"/>
        <v>Wednesday</v>
      </c>
    </row>
    <row r="512" spans="1:13">
      <c r="A512" t="s">
        <v>750</v>
      </c>
      <c r="B512" t="s">
        <v>219</v>
      </c>
      <c r="C512" t="s">
        <v>101</v>
      </c>
      <c r="D512" t="s">
        <v>81</v>
      </c>
      <c r="E512">
        <v>499</v>
      </c>
      <c r="F512">
        <v>3</v>
      </c>
      <c r="G512">
        <v>1497</v>
      </c>
      <c r="H512" t="s">
        <v>66</v>
      </c>
      <c r="I512" t="s">
        <v>57</v>
      </c>
      <c r="J512" t="s">
        <v>25</v>
      </c>
      <c r="K512" t="s">
        <v>18</v>
      </c>
      <c r="L512" t="str">
        <f t="shared" si="14"/>
        <v>Jan</v>
      </c>
      <c r="M512" t="str">
        <f t="shared" si="15"/>
        <v>Monday</v>
      </c>
    </row>
    <row r="513" spans="1:13">
      <c r="A513" t="s">
        <v>751</v>
      </c>
      <c r="B513" t="s">
        <v>321</v>
      </c>
      <c r="C513" t="s">
        <v>36</v>
      </c>
      <c r="D513" t="s">
        <v>29</v>
      </c>
      <c r="E513">
        <v>1999</v>
      </c>
      <c r="F513">
        <v>2</v>
      </c>
      <c r="G513">
        <v>3998</v>
      </c>
      <c r="H513" t="s">
        <v>30</v>
      </c>
      <c r="I513" t="s">
        <v>67</v>
      </c>
      <c r="J513" t="s">
        <v>38</v>
      </c>
      <c r="K513" t="s">
        <v>33</v>
      </c>
      <c r="L513" t="str">
        <f t="shared" si="14"/>
        <v>May</v>
      </c>
      <c r="M513" t="str">
        <f t="shared" si="15"/>
        <v>Saturday</v>
      </c>
    </row>
    <row r="514" spans="1:13">
      <c r="A514" t="s">
        <v>752</v>
      </c>
      <c r="B514" t="s">
        <v>281</v>
      </c>
      <c r="C514" t="s">
        <v>122</v>
      </c>
      <c r="D514" t="s">
        <v>29</v>
      </c>
      <c r="E514">
        <v>1299</v>
      </c>
      <c r="F514">
        <v>1</v>
      </c>
      <c r="G514">
        <v>1299</v>
      </c>
      <c r="H514" t="s">
        <v>30</v>
      </c>
      <c r="I514" t="s">
        <v>63</v>
      </c>
      <c r="J514" t="s">
        <v>17</v>
      </c>
      <c r="K514" t="s">
        <v>18</v>
      </c>
      <c r="L514" t="str">
        <f t="shared" si="14"/>
        <v>Apr</v>
      </c>
      <c r="M514" t="str">
        <f t="shared" si="15"/>
        <v>Saturday</v>
      </c>
    </row>
    <row r="515" spans="1:13">
      <c r="A515" t="s">
        <v>753</v>
      </c>
      <c r="B515" t="s">
        <v>65</v>
      </c>
      <c r="C515" t="s">
        <v>162</v>
      </c>
      <c r="D515" t="s">
        <v>29</v>
      </c>
      <c r="E515">
        <v>1799</v>
      </c>
      <c r="F515">
        <v>4</v>
      </c>
      <c r="G515">
        <v>7196</v>
      </c>
      <c r="H515" t="s">
        <v>37</v>
      </c>
      <c r="I515" t="s">
        <v>98</v>
      </c>
      <c r="J515" t="s">
        <v>32</v>
      </c>
      <c r="K515" t="s">
        <v>18</v>
      </c>
      <c r="L515" t="str">
        <f t="shared" ref="L515:L578" si="16">TEXT(B515,"MMM")</f>
        <v>Jan</v>
      </c>
      <c r="M515" t="str">
        <f t="shared" ref="M515:M578" si="17">TEXT(B515,"dddd")</f>
        <v>Thursday</v>
      </c>
    </row>
    <row r="516" spans="1:13">
      <c r="A516" t="s">
        <v>754</v>
      </c>
      <c r="B516" t="s">
        <v>167</v>
      </c>
      <c r="C516" t="s">
        <v>80</v>
      </c>
      <c r="D516" t="s">
        <v>81</v>
      </c>
      <c r="E516">
        <v>299</v>
      </c>
      <c r="F516">
        <v>3</v>
      </c>
      <c r="G516">
        <v>897</v>
      </c>
      <c r="H516" t="s">
        <v>56</v>
      </c>
      <c r="I516" t="s">
        <v>57</v>
      </c>
      <c r="J516" t="s">
        <v>38</v>
      </c>
      <c r="K516" t="s">
        <v>18</v>
      </c>
      <c r="L516" t="str">
        <f t="shared" si="16"/>
        <v>Mar</v>
      </c>
      <c r="M516" t="str">
        <f t="shared" si="17"/>
        <v>Thursday</v>
      </c>
    </row>
    <row r="517" spans="1:13">
      <c r="A517" t="s">
        <v>755</v>
      </c>
      <c r="B517" t="s">
        <v>179</v>
      </c>
      <c r="C517" t="s">
        <v>135</v>
      </c>
      <c r="D517" t="s">
        <v>29</v>
      </c>
      <c r="E517">
        <v>3999</v>
      </c>
      <c r="F517">
        <v>3</v>
      </c>
      <c r="G517">
        <v>11997</v>
      </c>
      <c r="H517" t="s">
        <v>15</v>
      </c>
      <c r="I517" t="s">
        <v>67</v>
      </c>
      <c r="J517" t="s">
        <v>90</v>
      </c>
      <c r="K517" t="s">
        <v>18</v>
      </c>
      <c r="L517" t="str">
        <f t="shared" si="16"/>
        <v>May</v>
      </c>
      <c r="M517" t="str">
        <f t="shared" si="17"/>
        <v>Wednesday</v>
      </c>
    </row>
    <row r="518" spans="1:13">
      <c r="A518" t="s">
        <v>756</v>
      </c>
      <c r="B518" t="s">
        <v>177</v>
      </c>
      <c r="C518" t="s">
        <v>76</v>
      </c>
      <c r="D518" t="s">
        <v>49</v>
      </c>
      <c r="E518">
        <v>1599</v>
      </c>
      <c r="F518">
        <v>5</v>
      </c>
      <c r="G518">
        <v>7995</v>
      </c>
      <c r="H518" t="s">
        <v>43</v>
      </c>
      <c r="I518" t="s">
        <v>16</v>
      </c>
      <c r="J518" t="s">
        <v>38</v>
      </c>
      <c r="K518" t="s">
        <v>18</v>
      </c>
      <c r="L518" t="str">
        <f t="shared" si="16"/>
        <v>Jan</v>
      </c>
      <c r="M518" t="str">
        <f t="shared" si="17"/>
        <v>Saturday</v>
      </c>
    </row>
    <row r="519" spans="1:13">
      <c r="A519" t="s">
        <v>757</v>
      </c>
      <c r="B519" t="s">
        <v>408</v>
      </c>
      <c r="C519" t="s">
        <v>162</v>
      </c>
      <c r="D519" t="s">
        <v>29</v>
      </c>
      <c r="E519">
        <v>1799</v>
      </c>
      <c r="F519">
        <v>1</v>
      </c>
      <c r="G519">
        <v>1799</v>
      </c>
      <c r="H519" t="s">
        <v>66</v>
      </c>
      <c r="I519" t="s">
        <v>16</v>
      </c>
      <c r="J519" t="s">
        <v>90</v>
      </c>
      <c r="K519" t="s">
        <v>45</v>
      </c>
      <c r="L519" t="str">
        <f t="shared" si="16"/>
        <v>Mar</v>
      </c>
      <c r="M519" t="str">
        <f t="shared" si="17"/>
        <v>Monday</v>
      </c>
    </row>
    <row r="520" spans="1:13">
      <c r="A520" t="s">
        <v>758</v>
      </c>
      <c r="B520" t="s">
        <v>329</v>
      </c>
      <c r="C520" t="s">
        <v>28</v>
      </c>
      <c r="D520" t="s">
        <v>29</v>
      </c>
      <c r="E520">
        <v>1299</v>
      </c>
      <c r="F520">
        <v>3</v>
      </c>
      <c r="G520">
        <v>3897</v>
      </c>
      <c r="H520" t="s">
        <v>71</v>
      </c>
      <c r="I520" t="s">
        <v>82</v>
      </c>
      <c r="J520" t="s">
        <v>25</v>
      </c>
      <c r="K520" t="s">
        <v>18</v>
      </c>
      <c r="L520" t="str">
        <f t="shared" si="16"/>
        <v>May</v>
      </c>
      <c r="M520" t="str">
        <f t="shared" si="17"/>
        <v>Sunday</v>
      </c>
    </row>
    <row r="521" spans="1:13">
      <c r="A521" t="s">
        <v>759</v>
      </c>
      <c r="B521" t="s">
        <v>164</v>
      </c>
      <c r="C521" t="s">
        <v>36</v>
      </c>
      <c r="D521" t="s">
        <v>29</v>
      </c>
      <c r="E521">
        <v>1999</v>
      </c>
      <c r="F521">
        <v>4</v>
      </c>
      <c r="G521">
        <v>7996</v>
      </c>
      <c r="H521" t="s">
        <v>56</v>
      </c>
      <c r="I521" t="s">
        <v>63</v>
      </c>
      <c r="J521" t="s">
        <v>90</v>
      </c>
      <c r="K521" t="s">
        <v>18</v>
      </c>
      <c r="L521" t="str">
        <f t="shared" si="16"/>
        <v>Feb</v>
      </c>
      <c r="M521" t="str">
        <f t="shared" si="17"/>
        <v>Wednesday</v>
      </c>
    </row>
    <row r="522" spans="1:13">
      <c r="A522" t="s">
        <v>760</v>
      </c>
      <c r="B522" t="s">
        <v>231</v>
      </c>
      <c r="C522" t="s">
        <v>48</v>
      </c>
      <c r="D522" t="s">
        <v>49</v>
      </c>
      <c r="E522">
        <v>699</v>
      </c>
      <c r="F522">
        <v>5</v>
      </c>
      <c r="G522">
        <v>3495</v>
      </c>
      <c r="H522" t="s">
        <v>23</v>
      </c>
      <c r="I522" t="s">
        <v>125</v>
      </c>
      <c r="J522" t="s">
        <v>32</v>
      </c>
      <c r="K522" t="s">
        <v>18</v>
      </c>
      <c r="L522" t="str">
        <f t="shared" si="16"/>
        <v>May</v>
      </c>
      <c r="M522" t="str">
        <f t="shared" si="17"/>
        <v>Saturday</v>
      </c>
    </row>
    <row r="523" spans="1:13">
      <c r="A523" t="s">
        <v>761</v>
      </c>
      <c r="B523" t="s">
        <v>167</v>
      </c>
      <c r="C523" t="s">
        <v>122</v>
      </c>
      <c r="D523" t="s">
        <v>29</v>
      </c>
      <c r="E523">
        <v>1299</v>
      </c>
      <c r="F523">
        <v>5</v>
      </c>
      <c r="G523">
        <v>6495</v>
      </c>
      <c r="H523" t="s">
        <v>102</v>
      </c>
      <c r="I523" t="s">
        <v>24</v>
      </c>
      <c r="J523" t="s">
        <v>90</v>
      </c>
      <c r="K523" t="s">
        <v>18</v>
      </c>
      <c r="L523" t="str">
        <f t="shared" si="16"/>
        <v>Mar</v>
      </c>
      <c r="M523" t="str">
        <f t="shared" si="17"/>
        <v>Thursday</v>
      </c>
    </row>
    <row r="524" spans="1:13">
      <c r="A524" t="s">
        <v>762</v>
      </c>
      <c r="B524" t="s">
        <v>221</v>
      </c>
      <c r="C524" t="s">
        <v>60</v>
      </c>
      <c r="D524" t="s">
        <v>61</v>
      </c>
      <c r="E524">
        <v>899</v>
      </c>
      <c r="F524">
        <v>5</v>
      </c>
      <c r="G524">
        <v>4495</v>
      </c>
      <c r="H524" t="s">
        <v>102</v>
      </c>
      <c r="I524" t="s">
        <v>98</v>
      </c>
      <c r="J524" t="s">
        <v>90</v>
      </c>
      <c r="K524" t="s">
        <v>18</v>
      </c>
      <c r="L524" t="str">
        <f t="shared" si="16"/>
        <v>Mar</v>
      </c>
      <c r="M524" t="str">
        <f t="shared" si="17"/>
        <v>Thursday</v>
      </c>
    </row>
    <row r="525" spans="1:13">
      <c r="A525" t="s">
        <v>763</v>
      </c>
      <c r="B525" t="s">
        <v>445</v>
      </c>
      <c r="C525" t="s">
        <v>21</v>
      </c>
      <c r="D525" t="s">
        <v>22</v>
      </c>
      <c r="E525">
        <v>1499</v>
      </c>
      <c r="F525">
        <v>3</v>
      </c>
      <c r="G525">
        <v>4497</v>
      </c>
      <c r="H525" t="s">
        <v>37</v>
      </c>
      <c r="I525" t="s">
        <v>16</v>
      </c>
      <c r="J525" t="s">
        <v>32</v>
      </c>
      <c r="K525" t="s">
        <v>45</v>
      </c>
      <c r="L525" t="str">
        <f t="shared" si="16"/>
        <v>May</v>
      </c>
      <c r="M525" t="str">
        <f t="shared" si="17"/>
        <v>Wednesday</v>
      </c>
    </row>
    <row r="526" spans="1:13">
      <c r="A526" t="s">
        <v>764</v>
      </c>
      <c r="B526" t="s">
        <v>84</v>
      </c>
      <c r="C526" t="s">
        <v>21</v>
      </c>
      <c r="D526" t="s">
        <v>22</v>
      </c>
      <c r="E526">
        <v>1499</v>
      </c>
      <c r="F526">
        <v>2</v>
      </c>
      <c r="G526">
        <v>2998</v>
      </c>
      <c r="H526" t="s">
        <v>23</v>
      </c>
      <c r="I526" t="s">
        <v>82</v>
      </c>
      <c r="J526" t="s">
        <v>90</v>
      </c>
      <c r="K526" t="s">
        <v>18</v>
      </c>
      <c r="L526" t="str">
        <f t="shared" si="16"/>
        <v>Mar</v>
      </c>
      <c r="M526" t="str">
        <f t="shared" si="17"/>
        <v>Saturday</v>
      </c>
    </row>
    <row r="527" spans="1:13">
      <c r="A527" t="s">
        <v>765</v>
      </c>
      <c r="B527" t="s">
        <v>303</v>
      </c>
      <c r="C527" t="s">
        <v>52</v>
      </c>
      <c r="D527" t="s">
        <v>53</v>
      </c>
      <c r="E527">
        <v>199</v>
      </c>
      <c r="F527">
        <v>1</v>
      </c>
      <c r="G527">
        <v>199</v>
      </c>
      <c r="H527" t="s">
        <v>119</v>
      </c>
      <c r="I527" t="s">
        <v>63</v>
      </c>
      <c r="J527" t="s">
        <v>90</v>
      </c>
      <c r="K527" t="s">
        <v>18</v>
      </c>
      <c r="L527" t="str">
        <f t="shared" si="16"/>
        <v>Jun</v>
      </c>
      <c r="M527" t="str">
        <f t="shared" si="17"/>
        <v>Tuesday</v>
      </c>
    </row>
    <row r="528" spans="1:13">
      <c r="A528" t="s">
        <v>766</v>
      </c>
      <c r="B528" t="s">
        <v>219</v>
      </c>
      <c r="C528" t="s">
        <v>87</v>
      </c>
      <c r="D528" t="s">
        <v>88</v>
      </c>
      <c r="E528">
        <v>5499</v>
      </c>
      <c r="F528">
        <v>5</v>
      </c>
      <c r="G528">
        <v>27495</v>
      </c>
      <c r="H528" t="s">
        <v>23</v>
      </c>
      <c r="I528" t="s">
        <v>31</v>
      </c>
      <c r="J528" t="s">
        <v>17</v>
      </c>
      <c r="K528" t="s">
        <v>18</v>
      </c>
      <c r="L528" t="str">
        <f t="shared" si="16"/>
        <v>Jan</v>
      </c>
      <c r="M528" t="str">
        <f t="shared" si="17"/>
        <v>Monday</v>
      </c>
    </row>
    <row r="529" spans="1:13">
      <c r="A529" t="s">
        <v>767</v>
      </c>
      <c r="B529" t="s">
        <v>387</v>
      </c>
      <c r="C529" t="s">
        <v>135</v>
      </c>
      <c r="D529" t="s">
        <v>29</v>
      </c>
      <c r="E529">
        <v>3999</v>
      </c>
      <c r="F529">
        <v>3</v>
      </c>
      <c r="G529">
        <v>11997</v>
      </c>
      <c r="H529" t="s">
        <v>15</v>
      </c>
      <c r="I529" t="s">
        <v>77</v>
      </c>
      <c r="J529" t="s">
        <v>32</v>
      </c>
      <c r="K529" t="s">
        <v>18</v>
      </c>
      <c r="L529" t="str">
        <f t="shared" si="16"/>
        <v>Jun</v>
      </c>
      <c r="M529" t="str">
        <f t="shared" si="17"/>
        <v>Sunday</v>
      </c>
    </row>
    <row r="530" spans="1:13">
      <c r="A530" t="s">
        <v>768</v>
      </c>
      <c r="B530" t="s">
        <v>274</v>
      </c>
      <c r="C530" t="s">
        <v>13</v>
      </c>
      <c r="D530" t="s">
        <v>14</v>
      </c>
      <c r="E530">
        <v>2499</v>
      </c>
      <c r="F530">
        <v>2</v>
      </c>
      <c r="G530">
        <v>4998</v>
      </c>
      <c r="H530" t="s">
        <v>66</v>
      </c>
      <c r="I530" t="s">
        <v>24</v>
      </c>
      <c r="J530" t="s">
        <v>38</v>
      </c>
      <c r="K530" t="s">
        <v>18</v>
      </c>
      <c r="L530" t="str">
        <f t="shared" si="16"/>
        <v>Mar</v>
      </c>
      <c r="M530" t="str">
        <f t="shared" si="17"/>
        <v>Sunday</v>
      </c>
    </row>
    <row r="531" spans="1:13">
      <c r="A531" t="s">
        <v>769</v>
      </c>
      <c r="B531" t="s">
        <v>86</v>
      </c>
      <c r="C531" t="s">
        <v>87</v>
      </c>
      <c r="D531" t="s">
        <v>88</v>
      </c>
      <c r="E531">
        <v>5499</v>
      </c>
      <c r="F531">
        <v>2</v>
      </c>
      <c r="G531">
        <v>10998</v>
      </c>
      <c r="H531" t="s">
        <v>95</v>
      </c>
      <c r="I531" t="s">
        <v>57</v>
      </c>
      <c r="J531" t="s">
        <v>25</v>
      </c>
      <c r="K531" t="s">
        <v>18</v>
      </c>
      <c r="L531" t="str">
        <f t="shared" si="16"/>
        <v>May</v>
      </c>
      <c r="M531" t="str">
        <f t="shared" si="17"/>
        <v>Friday</v>
      </c>
    </row>
    <row r="532" spans="1:13">
      <c r="A532" t="s">
        <v>770</v>
      </c>
      <c r="B532" t="s">
        <v>164</v>
      </c>
      <c r="C532" t="s">
        <v>70</v>
      </c>
      <c r="D532" t="s">
        <v>29</v>
      </c>
      <c r="E532">
        <v>799</v>
      </c>
      <c r="F532">
        <v>2</v>
      </c>
      <c r="G532">
        <v>1598</v>
      </c>
      <c r="H532" t="s">
        <v>56</v>
      </c>
      <c r="I532" t="s">
        <v>63</v>
      </c>
      <c r="J532" t="s">
        <v>25</v>
      </c>
      <c r="K532" t="s">
        <v>18</v>
      </c>
      <c r="L532" t="str">
        <f t="shared" si="16"/>
        <v>Feb</v>
      </c>
      <c r="M532" t="str">
        <f t="shared" si="17"/>
        <v>Wednesday</v>
      </c>
    </row>
    <row r="533" spans="1:13">
      <c r="A533" t="s">
        <v>771</v>
      </c>
      <c r="B533" t="s">
        <v>192</v>
      </c>
      <c r="C533" t="s">
        <v>80</v>
      </c>
      <c r="D533" t="s">
        <v>81</v>
      </c>
      <c r="E533">
        <v>299</v>
      </c>
      <c r="F533">
        <v>4</v>
      </c>
      <c r="G533">
        <v>1196</v>
      </c>
      <c r="H533" t="s">
        <v>15</v>
      </c>
      <c r="I533" t="s">
        <v>24</v>
      </c>
      <c r="J533" t="s">
        <v>17</v>
      </c>
      <c r="K533" t="s">
        <v>18</v>
      </c>
      <c r="L533" t="str">
        <f t="shared" si="16"/>
        <v>Jun</v>
      </c>
      <c r="M533" t="str">
        <f t="shared" si="17"/>
        <v>Sunday</v>
      </c>
    </row>
    <row r="534" spans="1:13">
      <c r="A534" t="s">
        <v>772</v>
      </c>
      <c r="B534" t="s">
        <v>633</v>
      </c>
      <c r="C534" t="s">
        <v>87</v>
      </c>
      <c r="D534" t="s">
        <v>88</v>
      </c>
      <c r="E534">
        <v>5499</v>
      </c>
      <c r="F534">
        <v>5</v>
      </c>
      <c r="G534">
        <v>27495</v>
      </c>
      <c r="H534" t="s">
        <v>56</v>
      </c>
      <c r="I534" t="s">
        <v>82</v>
      </c>
      <c r="J534" t="s">
        <v>25</v>
      </c>
      <c r="K534" t="s">
        <v>33</v>
      </c>
      <c r="L534" t="str">
        <f t="shared" si="16"/>
        <v>Jun</v>
      </c>
      <c r="M534" t="str">
        <f t="shared" si="17"/>
        <v>Saturday</v>
      </c>
    </row>
    <row r="535" spans="1:13">
      <c r="A535" t="s">
        <v>773</v>
      </c>
      <c r="B535" t="s">
        <v>250</v>
      </c>
      <c r="C535" t="s">
        <v>80</v>
      </c>
      <c r="D535" t="s">
        <v>81</v>
      </c>
      <c r="E535">
        <v>299</v>
      </c>
      <c r="F535">
        <v>4</v>
      </c>
      <c r="G535">
        <v>1196</v>
      </c>
      <c r="H535" t="s">
        <v>37</v>
      </c>
      <c r="I535" t="s">
        <v>24</v>
      </c>
      <c r="J535" t="s">
        <v>32</v>
      </c>
      <c r="K535" t="s">
        <v>33</v>
      </c>
      <c r="L535" t="str">
        <f t="shared" si="16"/>
        <v>Jan</v>
      </c>
      <c r="M535" t="str">
        <f t="shared" si="17"/>
        <v>Thursday</v>
      </c>
    </row>
    <row r="536" spans="1:13">
      <c r="A536" t="s">
        <v>774</v>
      </c>
      <c r="B536" t="s">
        <v>205</v>
      </c>
      <c r="C536" t="s">
        <v>87</v>
      </c>
      <c r="D536" t="s">
        <v>88</v>
      </c>
      <c r="E536">
        <v>5499</v>
      </c>
      <c r="F536">
        <v>2</v>
      </c>
      <c r="G536">
        <v>10998</v>
      </c>
      <c r="H536" t="s">
        <v>186</v>
      </c>
      <c r="I536" t="s">
        <v>77</v>
      </c>
      <c r="J536" t="s">
        <v>38</v>
      </c>
      <c r="K536" t="s">
        <v>18</v>
      </c>
      <c r="L536" t="str">
        <f t="shared" si="16"/>
        <v>Jan</v>
      </c>
      <c r="M536" t="str">
        <f t="shared" si="17"/>
        <v>Wednesday</v>
      </c>
    </row>
    <row r="537" spans="1:13">
      <c r="A537" t="s">
        <v>775</v>
      </c>
      <c r="B537" t="s">
        <v>429</v>
      </c>
      <c r="C537" t="s">
        <v>70</v>
      </c>
      <c r="D537" t="s">
        <v>29</v>
      </c>
      <c r="E537">
        <v>799</v>
      </c>
      <c r="F537">
        <v>1</v>
      </c>
      <c r="G537">
        <v>799</v>
      </c>
      <c r="H537" t="s">
        <v>37</v>
      </c>
      <c r="I537" t="s">
        <v>125</v>
      </c>
      <c r="J537" t="s">
        <v>25</v>
      </c>
      <c r="K537" t="s">
        <v>45</v>
      </c>
      <c r="L537" t="str">
        <f t="shared" si="16"/>
        <v>Apr</v>
      </c>
      <c r="M537" t="str">
        <f t="shared" si="17"/>
        <v>Wednesday</v>
      </c>
    </row>
    <row r="538" spans="1:13">
      <c r="A538" t="s">
        <v>776</v>
      </c>
      <c r="B538" t="s">
        <v>205</v>
      </c>
      <c r="C538" t="s">
        <v>135</v>
      </c>
      <c r="D538" t="s">
        <v>29</v>
      </c>
      <c r="E538">
        <v>3999</v>
      </c>
      <c r="F538">
        <v>2</v>
      </c>
      <c r="G538">
        <v>7998</v>
      </c>
      <c r="H538" t="s">
        <v>66</v>
      </c>
      <c r="I538" t="s">
        <v>16</v>
      </c>
      <c r="J538" t="s">
        <v>25</v>
      </c>
      <c r="K538" t="s">
        <v>18</v>
      </c>
      <c r="L538" t="str">
        <f t="shared" si="16"/>
        <v>Jan</v>
      </c>
      <c r="M538" t="str">
        <f t="shared" si="17"/>
        <v>Wednesday</v>
      </c>
    </row>
    <row r="539" spans="1:13">
      <c r="A539" t="s">
        <v>777</v>
      </c>
      <c r="B539" t="s">
        <v>130</v>
      </c>
      <c r="C539" t="s">
        <v>48</v>
      </c>
      <c r="D539" t="s">
        <v>49</v>
      </c>
      <c r="E539">
        <v>699</v>
      </c>
      <c r="F539">
        <v>2</v>
      </c>
      <c r="G539">
        <v>1398</v>
      </c>
      <c r="H539" t="s">
        <v>56</v>
      </c>
      <c r="I539" t="s">
        <v>98</v>
      </c>
      <c r="J539" t="s">
        <v>90</v>
      </c>
      <c r="K539" t="s">
        <v>33</v>
      </c>
      <c r="L539" t="str">
        <f t="shared" si="16"/>
        <v>Jun</v>
      </c>
      <c r="M539" t="str">
        <f t="shared" si="17"/>
        <v>Monday</v>
      </c>
    </row>
    <row r="540" spans="1:13">
      <c r="A540" t="s">
        <v>778</v>
      </c>
      <c r="B540" t="s">
        <v>335</v>
      </c>
      <c r="C540" t="s">
        <v>101</v>
      </c>
      <c r="D540" t="s">
        <v>81</v>
      </c>
      <c r="E540">
        <v>499</v>
      </c>
      <c r="F540">
        <v>2</v>
      </c>
      <c r="G540">
        <v>998</v>
      </c>
      <c r="H540" t="s">
        <v>95</v>
      </c>
      <c r="I540" t="s">
        <v>31</v>
      </c>
      <c r="J540" t="s">
        <v>32</v>
      </c>
      <c r="K540" t="s">
        <v>18</v>
      </c>
      <c r="L540" t="str">
        <f t="shared" si="16"/>
        <v>Feb</v>
      </c>
      <c r="M540" t="str">
        <f t="shared" si="17"/>
        <v>Thursday</v>
      </c>
    </row>
    <row r="541" spans="1:13">
      <c r="A541" t="s">
        <v>779</v>
      </c>
      <c r="B541" t="s">
        <v>279</v>
      </c>
      <c r="C541" t="s">
        <v>101</v>
      </c>
      <c r="D541" t="s">
        <v>81</v>
      </c>
      <c r="E541">
        <v>499</v>
      </c>
      <c r="F541">
        <v>5</v>
      </c>
      <c r="G541">
        <v>2495</v>
      </c>
      <c r="H541" t="s">
        <v>157</v>
      </c>
      <c r="I541" t="s">
        <v>67</v>
      </c>
      <c r="J541" t="s">
        <v>25</v>
      </c>
      <c r="K541" t="s">
        <v>45</v>
      </c>
      <c r="L541" t="str">
        <f t="shared" si="16"/>
        <v>May</v>
      </c>
      <c r="M541" t="str">
        <f t="shared" si="17"/>
        <v>Sunday</v>
      </c>
    </row>
    <row r="542" spans="1:13">
      <c r="A542" t="s">
        <v>780</v>
      </c>
      <c r="B542" t="s">
        <v>276</v>
      </c>
      <c r="C542" t="s">
        <v>76</v>
      </c>
      <c r="D542" t="s">
        <v>49</v>
      </c>
      <c r="E542">
        <v>1599</v>
      </c>
      <c r="F542">
        <v>2</v>
      </c>
      <c r="G542">
        <v>3198</v>
      </c>
      <c r="H542" t="s">
        <v>30</v>
      </c>
      <c r="I542" t="s">
        <v>63</v>
      </c>
      <c r="J542" t="s">
        <v>90</v>
      </c>
      <c r="K542" t="s">
        <v>18</v>
      </c>
      <c r="L542" t="str">
        <f t="shared" si="16"/>
        <v>Feb</v>
      </c>
      <c r="M542" t="str">
        <f t="shared" si="17"/>
        <v>Saturday</v>
      </c>
    </row>
    <row r="543" spans="1:13">
      <c r="A543" t="s">
        <v>781</v>
      </c>
      <c r="B543" t="s">
        <v>179</v>
      </c>
      <c r="C543" t="s">
        <v>48</v>
      </c>
      <c r="D543" t="s">
        <v>49</v>
      </c>
      <c r="E543">
        <v>699</v>
      </c>
      <c r="F543">
        <v>4</v>
      </c>
      <c r="G543">
        <v>2796</v>
      </c>
      <c r="H543" t="s">
        <v>186</v>
      </c>
      <c r="I543" t="s">
        <v>63</v>
      </c>
      <c r="J543" t="s">
        <v>90</v>
      </c>
      <c r="K543" t="s">
        <v>18</v>
      </c>
      <c r="L543" t="str">
        <f t="shared" si="16"/>
        <v>May</v>
      </c>
      <c r="M543" t="str">
        <f t="shared" si="17"/>
        <v>Wednesday</v>
      </c>
    </row>
    <row r="544" spans="1:13">
      <c r="A544" t="s">
        <v>782</v>
      </c>
      <c r="B544" t="s">
        <v>373</v>
      </c>
      <c r="C544" t="s">
        <v>80</v>
      </c>
      <c r="D544" t="s">
        <v>81</v>
      </c>
      <c r="E544">
        <v>299</v>
      </c>
      <c r="F544">
        <v>5</v>
      </c>
      <c r="G544">
        <v>1495</v>
      </c>
      <c r="H544" t="s">
        <v>102</v>
      </c>
      <c r="I544" t="s">
        <v>125</v>
      </c>
      <c r="J544" t="s">
        <v>38</v>
      </c>
      <c r="K544" t="s">
        <v>45</v>
      </c>
      <c r="L544" t="str">
        <f t="shared" si="16"/>
        <v>Mar</v>
      </c>
      <c r="M544" t="str">
        <f t="shared" si="17"/>
        <v>Wednesday</v>
      </c>
    </row>
    <row r="545" spans="1:13">
      <c r="A545" t="s">
        <v>783</v>
      </c>
      <c r="B545" t="s">
        <v>343</v>
      </c>
      <c r="C545" t="s">
        <v>122</v>
      </c>
      <c r="D545" t="s">
        <v>29</v>
      </c>
      <c r="E545">
        <v>1299</v>
      </c>
      <c r="F545">
        <v>1</v>
      </c>
      <c r="G545">
        <v>1299</v>
      </c>
      <c r="H545" t="s">
        <v>89</v>
      </c>
      <c r="I545" t="s">
        <v>57</v>
      </c>
      <c r="J545" t="s">
        <v>90</v>
      </c>
      <c r="K545" t="s">
        <v>18</v>
      </c>
      <c r="L545" t="str">
        <f t="shared" si="16"/>
        <v>May</v>
      </c>
      <c r="M545" t="str">
        <f t="shared" si="17"/>
        <v>Friday</v>
      </c>
    </row>
    <row r="546" spans="1:13">
      <c r="A546" t="s">
        <v>784</v>
      </c>
      <c r="B546" t="s">
        <v>200</v>
      </c>
      <c r="C546" t="s">
        <v>28</v>
      </c>
      <c r="D546" t="s">
        <v>29</v>
      </c>
      <c r="E546">
        <v>1299</v>
      </c>
      <c r="F546">
        <v>2</v>
      </c>
      <c r="G546">
        <v>2598</v>
      </c>
      <c r="H546" t="s">
        <v>102</v>
      </c>
      <c r="I546" t="s">
        <v>44</v>
      </c>
      <c r="J546" t="s">
        <v>32</v>
      </c>
      <c r="K546" t="s">
        <v>18</v>
      </c>
      <c r="L546" t="str">
        <f t="shared" si="16"/>
        <v>Apr</v>
      </c>
      <c r="M546" t="str">
        <f t="shared" si="17"/>
        <v>Friday</v>
      </c>
    </row>
    <row r="547" spans="1:13">
      <c r="A547" t="s">
        <v>785</v>
      </c>
      <c r="B547" t="s">
        <v>27</v>
      </c>
      <c r="C547" t="s">
        <v>70</v>
      </c>
      <c r="D547" t="s">
        <v>29</v>
      </c>
      <c r="E547">
        <v>799</v>
      </c>
      <c r="F547">
        <v>1</v>
      </c>
      <c r="G547">
        <v>799</v>
      </c>
      <c r="H547" t="s">
        <v>15</v>
      </c>
      <c r="I547" t="s">
        <v>125</v>
      </c>
      <c r="J547" t="s">
        <v>90</v>
      </c>
      <c r="K547" t="s">
        <v>18</v>
      </c>
      <c r="L547" t="str">
        <f t="shared" si="16"/>
        <v>Jun</v>
      </c>
      <c r="M547" t="str">
        <f t="shared" si="17"/>
        <v>Saturday</v>
      </c>
    </row>
    <row r="548" spans="1:13">
      <c r="A548" t="s">
        <v>786</v>
      </c>
      <c r="B548" t="s">
        <v>177</v>
      </c>
      <c r="C548" t="s">
        <v>122</v>
      </c>
      <c r="D548" t="s">
        <v>29</v>
      </c>
      <c r="E548">
        <v>1299</v>
      </c>
      <c r="F548">
        <v>2</v>
      </c>
      <c r="G548">
        <v>2598</v>
      </c>
      <c r="H548" t="s">
        <v>66</v>
      </c>
      <c r="I548" t="s">
        <v>44</v>
      </c>
      <c r="J548" t="s">
        <v>90</v>
      </c>
      <c r="K548" t="s">
        <v>45</v>
      </c>
      <c r="L548" t="str">
        <f t="shared" si="16"/>
        <v>Jan</v>
      </c>
      <c r="M548" t="str">
        <f t="shared" si="17"/>
        <v>Saturday</v>
      </c>
    </row>
    <row r="549" spans="1:13">
      <c r="A549" t="s">
        <v>787</v>
      </c>
      <c r="B549" t="s">
        <v>132</v>
      </c>
      <c r="C549" t="s">
        <v>21</v>
      </c>
      <c r="D549" t="s">
        <v>22</v>
      </c>
      <c r="E549">
        <v>1499</v>
      </c>
      <c r="F549">
        <v>2</v>
      </c>
      <c r="G549">
        <v>2998</v>
      </c>
      <c r="H549" t="s">
        <v>157</v>
      </c>
      <c r="I549" t="s">
        <v>67</v>
      </c>
      <c r="J549" t="s">
        <v>32</v>
      </c>
      <c r="K549" t="s">
        <v>33</v>
      </c>
      <c r="L549" t="str">
        <f t="shared" si="16"/>
        <v>Mar</v>
      </c>
      <c r="M549" t="str">
        <f t="shared" si="17"/>
        <v>Friday</v>
      </c>
    </row>
    <row r="550" spans="1:13">
      <c r="A550" t="s">
        <v>788</v>
      </c>
      <c r="B550" t="s">
        <v>219</v>
      </c>
      <c r="C550" t="s">
        <v>60</v>
      </c>
      <c r="D550" t="s">
        <v>61</v>
      </c>
      <c r="E550">
        <v>899</v>
      </c>
      <c r="F550">
        <v>4</v>
      </c>
      <c r="G550">
        <v>3596</v>
      </c>
      <c r="H550" t="s">
        <v>30</v>
      </c>
      <c r="I550" t="s">
        <v>31</v>
      </c>
      <c r="J550" t="s">
        <v>17</v>
      </c>
      <c r="K550" t="s">
        <v>18</v>
      </c>
      <c r="L550" t="str">
        <f t="shared" si="16"/>
        <v>Jan</v>
      </c>
      <c r="M550" t="str">
        <f t="shared" si="17"/>
        <v>Monday</v>
      </c>
    </row>
    <row r="551" spans="1:13">
      <c r="A551" t="s">
        <v>789</v>
      </c>
      <c r="B551" t="s">
        <v>485</v>
      </c>
      <c r="C551" t="s">
        <v>101</v>
      </c>
      <c r="D551" t="s">
        <v>81</v>
      </c>
      <c r="E551">
        <v>499</v>
      </c>
      <c r="F551">
        <v>1</v>
      </c>
      <c r="G551">
        <v>499</v>
      </c>
      <c r="H551" t="s">
        <v>89</v>
      </c>
      <c r="I551" t="s">
        <v>67</v>
      </c>
      <c r="J551" t="s">
        <v>25</v>
      </c>
      <c r="K551" t="s">
        <v>18</v>
      </c>
      <c r="L551" t="str">
        <f t="shared" si="16"/>
        <v>Jan</v>
      </c>
      <c r="M551" t="str">
        <f t="shared" si="17"/>
        <v>Sunday</v>
      </c>
    </row>
    <row r="552" spans="1:13">
      <c r="A552" t="s">
        <v>790</v>
      </c>
      <c r="B552" t="s">
        <v>100</v>
      </c>
      <c r="C552" t="s">
        <v>162</v>
      </c>
      <c r="D552" t="s">
        <v>29</v>
      </c>
      <c r="E552">
        <v>1799</v>
      </c>
      <c r="F552">
        <v>5</v>
      </c>
      <c r="G552">
        <v>8995</v>
      </c>
      <c r="H552" t="s">
        <v>71</v>
      </c>
      <c r="I552" t="s">
        <v>63</v>
      </c>
      <c r="J552" t="s">
        <v>90</v>
      </c>
      <c r="K552" t="s">
        <v>45</v>
      </c>
      <c r="L552" t="str">
        <f t="shared" si="16"/>
        <v>Jan</v>
      </c>
      <c r="M552" t="str">
        <f t="shared" si="17"/>
        <v>Friday</v>
      </c>
    </row>
    <row r="553" spans="1:13">
      <c r="A553" t="s">
        <v>791</v>
      </c>
      <c r="B553" t="s">
        <v>260</v>
      </c>
      <c r="C553" t="s">
        <v>21</v>
      </c>
      <c r="D553" t="s">
        <v>22</v>
      </c>
      <c r="E553">
        <v>1499</v>
      </c>
      <c r="F553">
        <v>1</v>
      </c>
      <c r="G553">
        <v>1499</v>
      </c>
      <c r="H553" t="s">
        <v>71</v>
      </c>
      <c r="I553" t="s">
        <v>82</v>
      </c>
      <c r="J553" t="s">
        <v>90</v>
      </c>
      <c r="K553" t="s">
        <v>18</v>
      </c>
      <c r="L553" t="str">
        <f t="shared" si="16"/>
        <v>Jun</v>
      </c>
      <c r="M553" t="str">
        <f t="shared" si="17"/>
        <v>Wednesday</v>
      </c>
    </row>
    <row r="554" spans="1:13">
      <c r="A554" t="s">
        <v>792</v>
      </c>
      <c r="B554" t="s">
        <v>20</v>
      </c>
      <c r="C554" t="s">
        <v>135</v>
      </c>
      <c r="D554" t="s">
        <v>29</v>
      </c>
      <c r="E554">
        <v>3999</v>
      </c>
      <c r="F554">
        <v>5</v>
      </c>
      <c r="G554">
        <v>19995</v>
      </c>
      <c r="H554" t="s">
        <v>23</v>
      </c>
      <c r="I554" t="s">
        <v>98</v>
      </c>
      <c r="J554" t="s">
        <v>17</v>
      </c>
      <c r="K554" t="s">
        <v>33</v>
      </c>
      <c r="L554" t="str">
        <f t="shared" si="16"/>
        <v>Jun</v>
      </c>
      <c r="M554" t="str">
        <f t="shared" si="17"/>
        <v>Friday</v>
      </c>
    </row>
    <row r="555" spans="1:13">
      <c r="A555" t="s">
        <v>793</v>
      </c>
      <c r="B555" t="s">
        <v>55</v>
      </c>
      <c r="C555" t="s">
        <v>48</v>
      </c>
      <c r="D555" t="s">
        <v>49</v>
      </c>
      <c r="E555">
        <v>699</v>
      </c>
      <c r="F555">
        <v>3</v>
      </c>
      <c r="G555">
        <v>2097</v>
      </c>
      <c r="H555" t="s">
        <v>37</v>
      </c>
      <c r="I555" t="s">
        <v>77</v>
      </c>
      <c r="J555" t="s">
        <v>25</v>
      </c>
      <c r="K555" t="s">
        <v>45</v>
      </c>
      <c r="L555" t="str">
        <f t="shared" si="16"/>
        <v>Mar</v>
      </c>
      <c r="M555" t="str">
        <f t="shared" si="17"/>
        <v>Sunday</v>
      </c>
    </row>
    <row r="556" spans="1:13">
      <c r="A556" t="s">
        <v>794</v>
      </c>
      <c r="B556" t="s">
        <v>682</v>
      </c>
      <c r="C556" t="s">
        <v>101</v>
      </c>
      <c r="D556" t="s">
        <v>81</v>
      </c>
      <c r="E556">
        <v>499</v>
      </c>
      <c r="F556">
        <v>1</v>
      </c>
      <c r="G556">
        <v>499</v>
      </c>
      <c r="H556" t="s">
        <v>66</v>
      </c>
      <c r="I556" t="s">
        <v>105</v>
      </c>
      <c r="J556" t="s">
        <v>25</v>
      </c>
      <c r="K556" t="s">
        <v>18</v>
      </c>
      <c r="L556" t="str">
        <f t="shared" si="16"/>
        <v>Feb</v>
      </c>
      <c r="M556" t="str">
        <f t="shared" si="17"/>
        <v>Monday</v>
      </c>
    </row>
    <row r="557" spans="1:13">
      <c r="A557" t="s">
        <v>795</v>
      </c>
      <c r="B557" t="s">
        <v>402</v>
      </c>
      <c r="C557" t="s">
        <v>80</v>
      </c>
      <c r="D557" t="s">
        <v>81</v>
      </c>
      <c r="E557">
        <v>299</v>
      </c>
      <c r="F557">
        <v>1</v>
      </c>
      <c r="G557">
        <v>299</v>
      </c>
      <c r="H557" t="s">
        <v>37</v>
      </c>
      <c r="I557" t="s">
        <v>63</v>
      </c>
      <c r="J557" t="s">
        <v>90</v>
      </c>
      <c r="K557" t="s">
        <v>45</v>
      </c>
      <c r="L557" t="str">
        <f t="shared" si="16"/>
        <v>Jun</v>
      </c>
      <c r="M557" t="str">
        <f t="shared" si="17"/>
        <v>Friday</v>
      </c>
    </row>
    <row r="558" spans="1:13">
      <c r="A558" t="s">
        <v>796</v>
      </c>
      <c r="B558" t="s">
        <v>709</v>
      </c>
      <c r="C558" t="s">
        <v>21</v>
      </c>
      <c r="D558" t="s">
        <v>22</v>
      </c>
      <c r="E558">
        <v>1499</v>
      </c>
      <c r="F558">
        <v>2</v>
      </c>
      <c r="G558">
        <v>2998</v>
      </c>
      <c r="H558" t="s">
        <v>56</v>
      </c>
      <c r="I558" t="s">
        <v>67</v>
      </c>
      <c r="J558" t="s">
        <v>32</v>
      </c>
      <c r="K558" t="s">
        <v>18</v>
      </c>
      <c r="L558" t="str">
        <f t="shared" si="16"/>
        <v>Apr</v>
      </c>
      <c r="M558" t="str">
        <f t="shared" si="17"/>
        <v>Friday</v>
      </c>
    </row>
    <row r="559" spans="1:13">
      <c r="A559" t="s">
        <v>797</v>
      </c>
      <c r="B559" t="s">
        <v>381</v>
      </c>
      <c r="C559" t="s">
        <v>21</v>
      </c>
      <c r="D559" t="s">
        <v>22</v>
      </c>
      <c r="E559">
        <v>1499</v>
      </c>
      <c r="F559">
        <v>5</v>
      </c>
      <c r="G559">
        <v>7495</v>
      </c>
      <c r="H559" t="s">
        <v>30</v>
      </c>
      <c r="I559" t="s">
        <v>63</v>
      </c>
      <c r="J559" t="s">
        <v>32</v>
      </c>
      <c r="K559" t="s">
        <v>18</v>
      </c>
      <c r="L559" t="str">
        <f t="shared" si="16"/>
        <v>Apr</v>
      </c>
      <c r="M559" t="str">
        <f t="shared" si="17"/>
        <v>Thursday</v>
      </c>
    </row>
    <row r="560" spans="1:13">
      <c r="A560" t="s">
        <v>798</v>
      </c>
      <c r="B560" t="s">
        <v>502</v>
      </c>
      <c r="C560" t="s">
        <v>21</v>
      </c>
      <c r="D560" t="s">
        <v>22</v>
      </c>
      <c r="E560">
        <v>1499</v>
      </c>
      <c r="F560">
        <v>4</v>
      </c>
      <c r="G560">
        <v>5996</v>
      </c>
      <c r="H560" t="s">
        <v>62</v>
      </c>
      <c r="I560" t="s">
        <v>77</v>
      </c>
      <c r="J560" t="s">
        <v>25</v>
      </c>
      <c r="K560" t="s">
        <v>18</v>
      </c>
      <c r="L560" t="str">
        <f t="shared" si="16"/>
        <v>Feb</v>
      </c>
      <c r="M560" t="str">
        <f t="shared" si="17"/>
        <v>Sunday</v>
      </c>
    </row>
    <row r="561" spans="1:13">
      <c r="A561" t="s">
        <v>799</v>
      </c>
      <c r="B561" t="s">
        <v>398</v>
      </c>
      <c r="C561" t="s">
        <v>60</v>
      </c>
      <c r="D561" t="s">
        <v>61</v>
      </c>
      <c r="E561">
        <v>899</v>
      </c>
      <c r="F561">
        <v>2</v>
      </c>
      <c r="G561">
        <v>1798</v>
      </c>
      <c r="H561" t="s">
        <v>23</v>
      </c>
      <c r="I561" t="s">
        <v>63</v>
      </c>
      <c r="J561" t="s">
        <v>90</v>
      </c>
      <c r="K561" t="s">
        <v>18</v>
      </c>
      <c r="L561" t="str">
        <f t="shared" si="16"/>
        <v>Jan</v>
      </c>
      <c r="M561" t="str">
        <f t="shared" si="17"/>
        <v>Friday</v>
      </c>
    </row>
    <row r="562" spans="1:13">
      <c r="A562" t="s">
        <v>800</v>
      </c>
      <c r="B562" t="s">
        <v>150</v>
      </c>
      <c r="C562" t="s">
        <v>101</v>
      </c>
      <c r="D562" t="s">
        <v>81</v>
      </c>
      <c r="E562">
        <v>499</v>
      </c>
      <c r="F562">
        <v>2</v>
      </c>
      <c r="G562">
        <v>998</v>
      </c>
      <c r="H562" t="s">
        <v>23</v>
      </c>
      <c r="I562" t="s">
        <v>24</v>
      </c>
      <c r="J562" t="s">
        <v>17</v>
      </c>
      <c r="K562" t="s">
        <v>18</v>
      </c>
      <c r="L562" t="str">
        <f t="shared" si="16"/>
        <v>Feb</v>
      </c>
      <c r="M562" t="str">
        <f t="shared" si="17"/>
        <v>Sunday</v>
      </c>
    </row>
    <row r="563" spans="1:13">
      <c r="A563" t="s">
        <v>801</v>
      </c>
      <c r="B563" t="s">
        <v>510</v>
      </c>
      <c r="C563" t="s">
        <v>28</v>
      </c>
      <c r="D563" t="s">
        <v>29</v>
      </c>
      <c r="E563">
        <v>1299</v>
      </c>
      <c r="F563">
        <v>4</v>
      </c>
      <c r="G563">
        <v>5196</v>
      </c>
      <c r="H563" t="s">
        <v>62</v>
      </c>
      <c r="I563" t="s">
        <v>63</v>
      </c>
      <c r="J563" t="s">
        <v>32</v>
      </c>
      <c r="K563" t="s">
        <v>45</v>
      </c>
      <c r="L563" t="str">
        <f t="shared" si="16"/>
        <v>Jan</v>
      </c>
      <c r="M563" t="str">
        <f t="shared" si="17"/>
        <v>Monday</v>
      </c>
    </row>
    <row r="564" spans="1:13">
      <c r="A564" t="s">
        <v>802</v>
      </c>
      <c r="B564" t="s">
        <v>354</v>
      </c>
      <c r="C564" t="s">
        <v>60</v>
      </c>
      <c r="D564" t="s">
        <v>61</v>
      </c>
      <c r="E564">
        <v>899</v>
      </c>
      <c r="F564">
        <v>1</v>
      </c>
      <c r="G564">
        <v>899</v>
      </c>
      <c r="H564" t="s">
        <v>157</v>
      </c>
      <c r="I564" t="s">
        <v>105</v>
      </c>
      <c r="J564" t="s">
        <v>25</v>
      </c>
      <c r="K564" t="s">
        <v>18</v>
      </c>
      <c r="L564" t="str">
        <f t="shared" si="16"/>
        <v>May</v>
      </c>
      <c r="M564" t="str">
        <f t="shared" si="17"/>
        <v>Monday</v>
      </c>
    </row>
    <row r="565" spans="1:13">
      <c r="A565" t="s">
        <v>803</v>
      </c>
      <c r="B565" t="s">
        <v>75</v>
      </c>
      <c r="C565" t="s">
        <v>76</v>
      </c>
      <c r="D565" t="s">
        <v>49</v>
      </c>
      <c r="E565">
        <v>1599</v>
      </c>
      <c r="F565">
        <v>5</v>
      </c>
      <c r="G565">
        <v>7995</v>
      </c>
      <c r="H565" t="s">
        <v>102</v>
      </c>
      <c r="I565" t="s">
        <v>82</v>
      </c>
      <c r="J565" t="s">
        <v>17</v>
      </c>
      <c r="K565" t="s">
        <v>45</v>
      </c>
      <c r="L565" t="str">
        <f t="shared" si="16"/>
        <v>Jun</v>
      </c>
      <c r="M565" t="str">
        <f t="shared" si="17"/>
        <v>Thursday</v>
      </c>
    </row>
    <row r="566" spans="1:13">
      <c r="A566" t="s">
        <v>804</v>
      </c>
      <c r="B566" t="s">
        <v>281</v>
      </c>
      <c r="C566" t="s">
        <v>76</v>
      </c>
      <c r="D566" t="s">
        <v>49</v>
      </c>
      <c r="E566">
        <v>1599</v>
      </c>
      <c r="F566">
        <v>3</v>
      </c>
      <c r="G566">
        <v>4797</v>
      </c>
      <c r="H566" t="s">
        <v>23</v>
      </c>
      <c r="I566" t="s">
        <v>82</v>
      </c>
      <c r="J566" t="s">
        <v>90</v>
      </c>
      <c r="K566" t="s">
        <v>18</v>
      </c>
      <c r="L566" t="str">
        <f t="shared" si="16"/>
        <v>Apr</v>
      </c>
      <c r="M566" t="str">
        <f t="shared" si="17"/>
        <v>Saturday</v>
      </c>
    </row>
    <row r="567" spans="1:13">
      <c r="A567" t="s">
        <v>805</v>
      </c>
      <c r="B567" t="s">
        <v>502</v>
      </c>
      <c r="C567" t="s">
        <v>21</v>
      </c>
      <c r="D567" t="s">
        <v>22</v>
      </c>
      <c r="E567">
        <v>1499</v>
      </c>
      <c r="F567">
        <v>2</v>
      </c>
      <c r="G567">
        <v>2998</v>
      </c>
      <c r="H567" t="s">
        <v>30</v>
      </c>
      <c r="I567" t="s">
        <v>63</v>
      </c>
      <c r="J567" t="s">
        <v>32</v>
      </c>
      <c r="K567" t="s">
        <v>45</v>
      </c>
      <c r="L567" t="str">
        <f t="shared" si="16"/>
        <v>Feb</v>
      </c>
      <c r="M567" t="str">
        <f t="shared" si="17"/>
        <v>Sunday</v>
      </c>
    </row>
    <row r="568" spans="1:13">
      <c r="A568" t="s">
        <v>806</v>
      </c>
      <c r="B568" t="s">
        <v>196</v>
      </c>
      <c r="C568" t="s">
        <v>60</v>
      </c>
      <c r="D568" t="s">
        <v>61</v>
      </c>
      <c r="E568">
        <v>899</v>
      </c>
      <c r="F568">
        <v>3</v>
      </c>
      <c r="G568">
        <v>2697</v>
      </c>
      <c r="H568" t="s">
        <v>30</v>
      </c>
      <c r="I568" t="s">
        <v>44</v>
      </c>
      <c r="J568" t="s">
        <v>25</v>
      </c>
      <c r="K568" t="s">
        <v>45</v>
      </c>
      <c r="L568" t="str">
        <f t="shared" si="16"/>
        <v>May</v>
      </c>
      <c r="M568" t="str">
        <f t="shared" si="17"/>
        <v>Friday</v>
      </c>
    </row>
    <row r="569" spans="1:13">
      <c r="A569" t="s">
        <v>807</v>
      </c>
      <c r="B569" t="s">
        <v>450</v>
      </c>
      <c r="C569" t="s">
        <v>36</v>
      </c>
      <c r="D569" t="s">
        <v>29</v>
      </c>
      <c r="E569">
        <v>1999</v>
      </c>
      <c r="F569">
        <v>3</v>
      </c>
      <c r="G569">
        <v>5997</v>
      </c>
      <c r="H569" t="s">
        <v>15</v>
      </c>
      <c r="I569" t="s">
        <v>82</v>
      </c>
      <c r="J569" t="s">
        <v>17</v>
      </c>
      <c r="K569" t="s">
        <v>18</v>
      </c>
      <c r="L569" t="str">
        <f t="shared" si="16"/>
        <v>Jan</v>
      </c>
      <c r="M569" t="str">
        <f t="shared" si="17"/>
        <v>Saturday</v>
      </c>
    </row>
    <row r="570" spans="1:13">
      <c r="A570" t="s">
        <v>808</v>
      </c>
      <c r="B570" t="s">
        <v>361</v>
      </c>
      <c r="C570" t="s">
        <v>135</v>
      </c>
      <c r="D570" t="s">
        <v>29</v>
      </c>
      <c r="E570">
        <v>3999</v>
      </c>
      <c r="F570">
        <v>3</v>
      </c>
      <c r="G570">
        <v>11997</v>
      </c>
      <c r="H570" t="s">
        <v>186</v>
      </c>
      <c r="I570" t="s">
        <v>31</v>
      </c>
      <c r="J570" t="s">
        <v>90</v>
      </c>
      <c r="K570" t="s">
        <v>18</v>
      </c>
      <c r="L570" t="str">
        <f t="shared" si="16"/>
        <v>Feb</v>
      </c>
      <c r="M570" t="str">
        <f t="shared" si="17"/>
        <v>Tuesday</v>
      </c>
    </row>
    <row r="571" spans="1:13">
      <c r="A571" t="s">
        <v>809</v>
      </c>
      <c r="B571" t="s">
        <v>598</v>
      </c>
      <c r="C571" t="s">
        <v>13</v>
      </c>
      <c r="D571" t="s">
        <v>14</v>
      </c>
      <c r="E571">
        <v>2499</v>
      </c>
      <c r="F571">
        <v>5</v>
      </c>
      <c r="G571">
        <v>12495</v>
      </c>
      <c r="H571" t="s">
        <v>95</v>
      </c>
      <c r="I571" t="s">
        <v>31</v>
      </c>
      <c r="J571" t="s">
        <v>17</v>
      </c>
      <c r="K571" t="s">
        <v>33</v>
      </c>
      <c r="L571" t="str">
        <f t="shared" si="16"/>
        <v>Jun</v>
      </c>
      <c r="M571" t="str">
        <f t="shared" si="17"/>
        <v>Thursday</v>
      </c>
    </row>
    <row r="572" spans="1:13">
      <c r="A572" t="s">
        <v>810</v>
      </c>
      <c r="B572" t="s">
        <v>40</v>
      </c>
      <c r="C572" t="s">
        <v>13</v>
      </c>
      <c r="D572" t="s">
        <v>14</v>
      </c>
      <c r="E572">
        <v>2499</v>
      </c>
      <c r="F572">
        <v>5</v>
      </c>
      <c r="G572">
        <v>12495</v>
      </c>
      <c r="H572" t="s">
        <v>157</v>
      </c>
      <c r="I572" t="s">
        <v>77</v>
      </c>
      <c r="J572" t="s">
        <v>90</v>
      </c>
      <c r="K572" t="s">
        <v>33</v>
      </c>
      <c r="L572" t="str">
        <f t="shared" si="16"/>
        <v>Mar</v>
      </c>
      <c r="M572" t="str">
        <f t="shared" si="17"/>
        <v>Friday</v>
      </c>
    </row>
    <row r="573" spans="1:13">
      <c r="A573" t="s">
        <v>811</v>
      </c>
      <c r="B573" t="s">
        <v>340</v>
      </c>
      <c r="C573" t="s">
        <v>162</v>
      </c>
      <c r="D573" t="s">
        <v>29</v>
      </c>
      <c r="E573">
        <v>1799</v>
      </c>
      <c r="F573">
        <v>2</v>
      </c>
      <c r="G573">
        <v>3598</v>
      </c>
      <c r="H573" t="s">
        <v>95</v>
      </c>
      <c r="I573" t="s">
        <v>77</v>
      </c>
      <c r="J573" t="s">
        <v>17</v>
      </c>
      <c r="K573" t="s">
        <v>18</v>
      </c>
      <c r="L573" t="str">
        <f t="shared" si="16"/>
        <v>May</v>
      </c>
      <c r="M573" t="str">
        <f t="shared" si="17"/>
        <v>Saturday</v>
      </c>
    </row>
    <row r="574" spans="1:13">
      <c r="A574" t="s">
        <v>812</v>
      </c>
      <c r="B574" t="s">
        <v>40</v>
      </c>
      <c r="C574" t="s">
        <v>101</v>
      </c>
      <c r="D574" t="s">
        <v>81</v>
      </c>
      <c r="E574">
        <v>499</v>
      </c>
      <c r="F574">
        <v>5</v>
      </c>
      <c r="G574">
        <v>2495</v>
      </c>
      <c r="H574" t="s">
        <v>186</v>
      </c>
      <c r="I574" t="s">
        <v>98</v>
      </c>
      <c r="J574" t="s">
        <v>17</v>
      </c>
      <c r="K574" t="s">
        <v>18</v>
      </c>
      <c r="L574" t="str">
        <f t="shared" si="16"/>
        <v>Mar</v>
      </c>
      <c r="M574" t="str">
        <f t="shared" si="17"/>
        <v>Friday</v>
      </c>
    </row>
    <row r="575" spans="1:13">
      <c r="A575" t="s">
        <v>813</v>
      </c>
      <c r="B575" t="s">
        <v>255</v>
      </c>
      <c r="C575" t="s">
        <v>48</v>
      </c>
      <c r="D575" t="s">
        <v>49</v>
      </c>
      <c r="E575">
        <v>699</v>
      </c>
      <c r="F575">
        <v>4</v>
      </c>
      <c r="G575">
        <v>2796</v>
      </c>
      <c r="H575" t="s">
        <v>15</v>
      </c>
      <c r="I575" t="s">
        <v>57</v>
      </c>
      <c r="J575" t="s">
        <v>17</v>
      </c>
      <c r="K575" t="s">
        <v>18</v>
      </c>
      <c r="L575" t="str">
        <f t="shared" si="16"/>
        <v>Mar</v>
      </c>
      <c r="M575" t="str">
        <f t="shared" si="17"/>
        <v>Thursday</v>
      </c>
    </row>
    <row r="576" spans="1:13">
      <c r="A576" t="s">
        <v>814</v>
      </c>
      <c r="B576" t="s">
        <v>73</v>
      </c>
      <c r="C576" t="s">
        <v>70</v>
      </c>
      <c r="D576" t="s">
        <v>29</v>
      </c>
      <c r="E576">
        <v>799</v>
      </c>
      <c r="F576">
        <v>2</v>
      </c>
      <c r="G576">
        <v>1598</v>
      </c>
      <c r="H576" t="s">
        <v>119</v>
      </c>
      <c r="I576" t="s">
        <v>82</v>
      </c>
      <c r="J576" t="s">
        <v>90</v>
      </c>
      <c r="K576" t="s">
        <v>18</v>
      </c>
      <c r="L576" t="str">
        <f t="shared" si="16"/>
        <v>Feb</v>
      </c>
      <c r="M576" t="str">
        <f t="shared" si="17"/>
        <v>Thursday</v>
      </c>
    </row>
    <row r="577" spans="1:13">
      <c r="A577" t="s">
        <v>815</v>
      </c>
      <c r="B577" t="s">
        <v>447</v>
      </c>
      <c r="C577" t="s">
        <v>101</v>
      </c>
      <c r="D577" t="s">
        <v>81</v>
      </c>
      <c r="E577">
        <v>499</v>
      </c>
      <c r="F577">
        <v>5</v>
      </c>
      <c r="G577">
        <v>2495</v>
      </c>
      <c r="H577" t="s">
        <v>157</v>
      </c>
      <c r="I577" t="s">
        <v>67</v>
      </c>
      <c r="J577" t="s">
        <v>90</v>
      </c>
      <c r="K577" t="s">
        <v>45</v>
      </c>
      <c r="L577" t="str">
        <f t="shared" si="16"/>
        <v>May</v>
      </c>
      <c r="M577" t="str">
        <f t="shared" si="17"/>
        <v>Friday</v>
      </c>
    </row>
    <row r="578" spans="1:13">
      <c r="A578" t="s">
        <v>816</v>
      </c>
      <c r="B578" t="s">
        <v>633</v>
      </c>
      <c r="C578" t="s">
        <v>48</v>
      </c>
      <c r="D578" t="s">
        <v>49</v>
      </c>
      <c r="E578">
        <v>699</v>
      </c>
      <c r="F578">
        <v>4</v>
      </c>
      <c r="G578">
        <v>2796</v>
      </c>
      <c r="H578" t="s">
        <v>89</v>
      </c>
      <c r="I578" t="s">
        <v>125</v>
      </c>
      <c r="J578" t="s">
        <v>38</v>
      </c>
      <c r="K578" t="s">
        <v>18</v>
      </c>
      <c r="L578" t="str">
        <f t="shared" si="16"/>
        <v>Jun</v>
      </c>
      <c r="M578" t="str">
        <f t="shared" si="17"/>
        <v>Saturday</v>
      </c>
    </row>
    <row r="579" spans="1:13">
      <c r="A579" t="s">
        <v>817</v>
      </c>
      <c r="B579" t="s">
        <v>682</v>
      </c>
      <c r="C579" t="s">
        <v>80</v>
      </c>
      <c r="D579" t="s">
        <v>81</v>
      </c>
      <c r="E579">
        <v>299</v>
      </c>
      <c r="F579">
        <v>2</v>
      </c>
      <c r="G579">
        <v>598</v>
      </c>
      <c r="H579" t="s">
        <v>23</v>
      </c>
      <c r="I579" t="s">
        <v>63</v>
      </c>
      <c r="J579" t="s">
        <v>90</v>
      </c>
      <c r="K579" t="s">
        <v>18</v>
      </c>
      <c r="L579" t="str">
        <f t="shared" ref="L579:L642" si="18">TEXT(B579,"MMM")</f>
        <v>Feb</v>
      </c>
      <c r="M579" t="str">
        <f t="shared" ref="M579:M642" si="19">TEXT(B579,"dddd")</f>
        <v>Monday</v>
      </c>
    </row>
    <row r="580" spans="1:13">
      <c r="A580" t="s">
        <v>818</v>
      </c>
      <c r="B580" t="s">
        <v>745</v>
      </c>
      <c r="C580" t="s">
        <v>52</v>
      </c>
      <c r="D580" t="s">
        <v>53</v>
      </c>
      <c r="E580">
        <v>199</v>
      </c>
      <c r="F580">
        <v>1</v>
      </c>
      <c r="G580">
        <v>199</v>
      </c>
      <c r="H580" t="s">
        <v>102</v>
      </c>
      <c r="I580" t="s">
        <v>67</v>
      </c>
      <c r="J580" t="s">
        <v>38</v>
      </c>
      <c r="K580" t="s">
        <v>45</v>
      </c>
      <c r="L580" t="str">
        <f t="shared" si="18"/>
        <v>Apr</v>
      </c>
      <c r="M580" t="str">
        <f t="shared" si="19"/>
        <v>Friday</v>
      </c>
    </row>
    <row r="581" spans="1:13">
      <c r="A581" t="s">
        <v>819</v>
      </c>
      <c r="B581" t="s">
        <v>196</v>
      </c>
      <c r="C581" t="s">
        <v>162</v>
      </c>
      <c r="D581" t="s">
        <v>29</v>
      </c>
      <c r="E581">
        <v>1799</v>
      </c>
      <c r="F581">
        <v>4</v>
      </c>
      <c r="G581">
        <v>7196</v>
      </c>
      <c r="H581" t="s">
        <v>56</v>
      </c>
      <c r="I581" t="s">
        <v>57</v>
      </c>
      <c r="J581" t="s">
        <v>32</v>
      </c>
      <c r="K581" t="s">
        <v>18</v>
      </c>
      <c r="L581" t="str">
        <f t="shared" si="18"/>
        <v>May</v>
      </c>
      <c r="M581" t="str">
        <f t="shared" si="19"/>
        <v>Friday</v>
      </c>
    </row>
    <row r="582" spans="1:13">
      <c r="A582" t="s">
        <v>820</v>
      </c>
      <c r="B582" t="s">
        <v>347</v>
      </c>
      <c r="C582" t="s">
        <v>36</v>
      </c>
      <c r="D582" t="s">
        <v>29</v>
      </c>
      <c r="E582">
        <v>1999</v>
      </c>
      <c r="F582">
        <v>2</v>
      </c>
      <c r="G582">
        <v>3998</v>
      </c>
      <c r="H582" t="s">
        <v>15</v>
      </c>
      <c r="I582" t="s">
        <v>67</v>
      </c>
      <c r="J582" t="s">
        <v>32</v>
      </c>
      <c r="K582" t="s">
        <v>18</v>
      </c>
      <c r="L582" t="str">
        <f t="shared" si="18"/>
        <v>Feb</v>
      </c>
      <c r="M582" t="str">
        <f t="shared" si="19"/>
        <v>Friday</v>
      </c>
    </row>
    <row r="583" spans="1:13">
      <c r="A583" t="s">
        <v>821</v>
      </c>
      <c r="B583" t="s">
        <v>568</v>
      </c>
      <c r="C583" t="s">
        <v>60</v>
      </c>
      <c r="D583" t="s">
        <v>61</v>
      </c>
      <c r="E583">
        <v>899</v>
      </c>
      <c r="F583">
        <v>1</v>
      </c>
      <c r="G583">
        <v>899</v>
      </c>
      <c r="H583" t="s">
        <v>30</v>
      </c>
      <c r="I583" t="s">
        <v>77</v>
      </c>
      <c r="J583" t="s">
        <v>38</v>
      </c>
      <c r="K583" t="s">
        <v>18</v>
      </c>
      <c r="L583" t="str">
        <f t="shared" si="18"/>
        <v>May</v>
      </c>
      <c r="M583" t="str">
        <f t="shared" si="19"/>
        <v>Sunday</v>
      </c>
    </row>
    <row r="584" spans="1:13">
      <c r="A584" t="s">
        <v>822</v>
      </c>
      <c r="B584" t="s">
        <v>613</v>
      </c>
      <c r="C584" t="s">
        <v>76</v>
      </c>
      <c r="D584" t="s">
        <v>49</v>
      </c>
      <c r="E584">
        <v>1599</v>
      </c>
      <c r="F584">
        <v>1</v>
      </c>
      <c r="G584">
        <v>1599</v>
      </c>
      <c r="H584" t="s">
        <v>62</v>
      </c>
      <c r="I584" t="s">
        <v>24</v>
      </c>
      <c r="J584" t="s">
        <v>38</v>
      </c>
      <c r="K584" t="s">
        <v>18</v>
      </c>
      <c r="L584" t="str">
        <f t="shared" si="18"/>
        <v>Feb</v>
      </c>
      <c r="M584" t="str">
        <f t="shared" si="19"/>
        <v>Tuesday</v>
      </c>
    </row>
    <row r="585" spans="1:13">
      <c r="A585" t="s">
        <v>823</v>
      </c>
      <c r="B585" t="s">
        <v>335</v>
      </c>
      <c r="C585" t="s">
        <v>13</v>
      </c>
      <c r="D585" t="s">
        <v>14</v>
      </c>
      <c r="E585">
        <v>2499</v>
      </c>
      <c r="F585">
        <v>3</v>
      </c>
      <c r="G585">
        <v>7497</v>
      </c>
      <c r="H585" t="s">
        <v>62</v>
      </c>
      <c r="I585" t="s">
        <v>44</v>
      </c>
      <c r="J585" t="s">
        <v>25</v>
      </c>
      <c r="K585" t="s">
        <v>18</v>
      </c>
      <c r="L585" t="str">
        <f t="shared" si="18"/>
        <v>Feb</v>
      </c>
      <c r="M585" t="str">
        <f t="shared" si="19"/>
        <v>Thursday</v>
      </c>
    </row>
    <row r="586" spans="1:13">
      <c r="A586" t="s">
        <v>824</v>
      </c>
      <c r="B586" t="s">
        <v>260</v>
      </c>
      <c r="C586" t="s">
        <v>76</v>
      </c>
      <c r="D586" t="s">
        <v>49</v>
      </c>
      <c r="E586">
        <v>1599</v>
      </c>
      <c r="F586">
        <v>4</v>
      </c>
      <c r="G586">
        <v>6396</v>
      </c>
      <c r="H586" t="s">
        <v>62</v>
      </c>
      <c r="I586" t="s">
        <v>105</v>
      </c>
      <c r="J586" t="s">
        <v>90</v>
      </c>
      <c r="K586" t="s">
        <v>18</v>
      </c>
      <c r="L586" t="str">
        <f t="shared" si="18"/>
        <v>Jun</v>
      </c>
      <c r="M586" t="str">
        <f t="shared" si="19"/>
        <v>Wednesday</v>
      </c>
    </row>
    <row r="587" spans="1:13">
      <c r="A587" t="s">
        <v>825</v>
      </c>
      <c r="B587" t="s">
        <v>321</v>
      </c>
      <c r="C587" t="s">
        <v>76</v>
      </c>
      <c r="D587" t="s">
        <v>49</v>
      </c>
      <c r="E587">
        <v>1599</v>
      </c>
      <c r="F587">
        <v>2</v>
      </c>
      <c r="G587">
        <v>3198</v>
      </c>
      <c r="H587" t="s">
        <v>15</v>
      </c>
      <c r="I587" t="s">
        <v>105</v>
      </c>
      <c r="J587" t="s">
        <v>90</v>
      </c>
      <c r="K587" t="s">
        <v>18</v>
      </c>
      <c r="L587" t="str">
        <f t="shared" si="18"/>
        <v>May</v>
      </c>
      <c r="M587" t="str">
        <f t="shared" si="19"/>
        <v>Saturday</v>
      </c>
    </row>
    <row r="588" spans="1:13">
      <c r="A588" t="s">
        <v>826</v>
      </c>
      <c r="B588" t="s">
        <v>381</v>
      </c>
      <c r="C588" t="s">
        <v>13</v>
      </c>
      <c r="D588" t="s">
        <v>14</v>
      </c>
      <c r="E588">
        <v>2499</v>
      </c>
      <c r="F588">
        <v>2</v>
      </c>
      <c r="G588">
        <v>4998</v>
      </c>
      <c r="H588" t="s">
        <v>119</v>
      </c>
      <c r="I588" t="s">
        <v>24</v>
      </c>
      <c r="J588" t="s">
        <v>25</v>
      </c>
      <c r="K588" t="s">
        <v>18</v>
      </c>
      <c r="L588" t="str">
        <f t="shared" si="18"/>
        <v>Apr</v>
      </c>
      <c r="M588" t="str">
        <f t="shared" si="19"/>
        <v>Thursday</v>
      </c>
    </row>
    <row r="589" spans="1:13">
      <c r="A589" t="s">
        <v>827</v>
      </c>
      <c r="B589" t="s">
        <v>27</v>
      </c>
      <c r="C589" t="s">
        <v>80</v>
      </c>
      <c r="D589" t="s">
        <v>81</v>
      </c>
      <c r="E589">
        <v>299</v>
      </c>
      <c r="F589">
        <v>3</v>
      </c>
      <c r="G589">
        <v>897</v>
      </c>
      <c r="H589" t="s">
        <v>23</v>
      </c>
      <c r="I589" t="s">
        <v>105</v>
      </c>
      <c r="J589" t="s">
        <v>38</v>
      </c>
      <c r="K589" t="s">
        <v>18</v>
      </c>
      <c r="L589" t="str">
        <f t="shared" si="18"/>
        <v>Jun</v>
      </c>
      <c r="M589" t="str">
        <f t="shared" si="19"/>
        <v>Saturday</v>
      </c>
    </row>
    <row r="590" spans="1:13">
      <c r="A590" t="s">
        <v>828</v>
      </c>
      <c r="B590" t="s">
        <v>84</v>
      </c>
      <c r="C590" t="s">
        <v>122</v>
      </c>
      <c r="D590" t="s">
        <v>29</v>
      </c>
      <c r="E590">
        <v>1299</v>
      </c>
      <c r="F590">
        <v>1</v>
      </c>
      <c r="G590">
        <v>1299</v>
      </c>
      <c r="H590" t="s">
        <v>186</v>
      </c>
      <c r="I590" t="s">
        <v>31</v>
      </c>
      <c r="J590" t="s">
        <v>32</v>
      </c>
      <c r="K590" t="s">
        <v>18</v>
      </c>
      <c r="L590" t="str">
        <f t="shared" si="18"/>
        <v>Mar</v>
      </c>
      <c r="M590" t="str">
        <f t="shared" si="19"/>
        <v>Saturday</v>
      </c>
    </row>
    <row r="591" spans="1:13">
      <c r="A591" t="s">
        <v>829</v>
      </c>
      <c r="B591" t="s">
        <v>347</v>
      </c>
      <c r="C591" t="s">
        <v>162</v>
      </c>
      <c r="D591" t="s">
        <v>29</v>
      </c>
      <c r="E591">
        <v>1799</v>
      </c>
      <c r="F591">
        <v>3</v>
      </c>
      <c r="G591">
        <v>5397</v>
      </c>
      <c r="H591" t="s">
        <v>23</v>
      </c>
      <c r="I591" t="s">
        <v>105</v>
      </c>
      <c r="J591" t="s">
        <v>17</v>
      </c>
      <c r="K591" t="s">
        <v>18</v>
      </c>
      <c r="L591" t="str">
        <f t="shared" si="18"/>
        <v>Feb</v>
      </c>
      <c r="M591" t="str">
        <f t="shared" si="19"/>
        <v>Friday</v>
      </c>
    </row>
    <row r="592" spans="1:13">
      <c r="A592" t="s">
        <v>830</v>
      </c>
      <c r="B592" t="s">
        <v>250</v>
      </c>
      <c r="C592" t="s">
        <v>60</v>
      </c>
      <c r="D592" t="s">
        <v>61</v>
      </c>
      <c r="E592">
        <v>899</v>
      </c>
      <c r="F592">
        <v>3</v>
      </c>
      <c r="G592">
        <v>2697</v>
      </c>
      <c r="H592" t="s">
        <v>62</v>
      </c>
      <c r="I592" t="s">
        <v>98</v>
      </c>
      <c r="J592" t="s">
        <v>32</v>
      </c>
      <c r="K592" t="s">
        <v>18</v>
      </c>
      <c r="L592" t="str">
        <f t="shared" si="18"/>
        <v>Jan</v>
      </c>
      <c r="M592" t="str">
        <f t="shared" si="19"/>
        <v>Thursday</v>
      </c>
    </row>
    <row r="593" spans="1:13">
      <c r="A593" t="s">
        <v>831</v>
      </c>
      <c r="B593" t="s">
        <v>395</v>
      </c>
      <c r="C593" t="s">
        <v>36</v>
      </c>
      <c r="D593" t="s">
        <v>29</v>
      </c>
      <c r="E593">
        <v>1999</v>
      </c>
      <c r="F593">
        <v>2</v>
      </c>
      <c r="G593">
        <v>3998</v>
      </c>
      <c r="H593" t="s">
        <v>119</v>
      </c>
      <c r="I593" t="s">
        <v>24</v>
      </c>
      <c r="J593" t="s">
        <v>25</v>
      </c>
      <c r="K593" t="s">
        <v>18</v>
      </c>
      <c r="L593" t="str">
        <f t="shared" si="18"/>
        <v>Apr</v>
      </c>
      <c r="M593" t="str">
        <f t="shared" si="19"/>
        <v>Sunday</v>
      </c>
    </row>
    <row r="594" spans="1:13">
      <c r="A594" t="s">
        <v>832</v>
      </c>
      <c r="B594" t="s">
        <v>55</v>
      </c>
      <c r="C594" t="s">
        <v>162</v>
      </c>
      <c r="D594" t="s">
        <v>29</v>
      </c>
      <c r="E594">
        <v>1799</v>
      </c>
      <c r="F594">
        <v>5</v>
      </c>
      <c r="G594">
        <v>8995</v>
      </c>
      <c r="H594" t="s">
        <v>30</v>
      </c>
      <c r="I594" t="s">
        <v>16</v>
      </c>
      <c r="J594" t="s">
        <v>25</v>
      </c>
      <c r="K594" t="s">
        <v>18</v>
      </c>
      <c r="L594" t="str">
        <f t="shared" si="18"/>
        <v>Mar</v>
      </c>
      <c r="M594" t="str">
        <f t="shared" si="19"/>
        <v>Sunday</v>
      </c>
    </row>
    <row r="595" spans="1:13">
      <c r="A595" t="s">
        <v>833</v>
      </c>
      <c r="B595" t="s">
        <v>227</v>
      </c>
      <c r="C595" t="s">
        <v>162</v>
      </c>
      <c r="D595" t="s">
        <v>29</v>
      </c>
      <c r="E595">
        <v>1799</v>
      </c>
      <c r="F595">
        <v>4</v>
      </c>
      <c r="G595">
        <v>7196</v>
      </c>
      <c r="H595" t="s">
        <v>56</v>
      </c>
      <c r="I595" t="s">
        <v>77</v>
      </c>
      <c r="J595" t="s">
        <v>25</v>
      </c>
      <c r="K595" t="s">
        <v>45</v>
      </c>
      <c r="L595" t="str">
        <f t="shared" si="18"/>
        <v>Jan</v>
      </c>
      <c r="M595" t="str">
        <f t="shared" si="19"/>
        <v>Sunday</v>
      </c>
    </row>
    <row r="596" spans="1:13">
      <c r="A596" t="s">
        <v>834</v>
      </c>
      <c r="B596" t="s">
        <v>402</v>
      </c>
      <c r="C596" t="s">
        <v>13</v>
      </c>
      <c r="D596" t="s">
        <v>14</v>
      </c>
      <c r="E596">
        <v>2499</v>
      </c>
      <c r="F596">
        <v>3</v>
      </c>
      <c r="G596">
        <v>7497</v>
      </c>
      <c r="H596" t="s">
        <v>95</v>
      </c>
      <c r="I596" t="s">
        <v>31</v>
      </c>
      <c r="J596" t="s">
        <v>38</v>
      </c>
      <c r="K596" t="s">
        <v>18</v>
      </c>
      <c r="L596" t="str">
        <f t="shared" si="18"/>
        <v>Jun</v>
      </c>
      <c r="M596" t="str">
        <f t="shared" si="19"/>
        <v>Friday</v>
      </c>
    </row>
    <row r="597" spans="1:13">
      <c r="A597" t="s">
        <v>835</v>
      </c>
      <c r="B597" t="s">
        <v>343</v>
      </c>
      <c r="C597" t="s">
        <v>70</v>
      </c>
      <c r="D597" t="s">
        <v>29</v>
      </c>
      <c r="E597">
        <v>799</v>
      </c>
      <c r="F597">
        <v>5</v>
      </c>
      <c r="G597">
        <v>3995</v>
      </c>
      <c r="H597" t="s">
        <v>95</v>
      </c>
      <c r="I597" t="s">
        <v>16</v>
      </c>
      <c r="J597" t="s">
        <v>90</v>
      </c>
      <c r="K597" t="s">
        <v>18</v>
      </c>
      <c r="L597" t="str">
        <f t="shared" si="18"/>
        <v>May</v>
      </c>
      <c r="M597" t="str">
        <f t="shared" si="19"/>
        <v>Friday</v>
      </c>
    </row>
    <row r="598" spans="1:13">
      <c r="A598" t="s">
        <v>836</v>
      </c>
      <c r="B598" t="s">
        <v>177</v>
      </c>
      <c r="C598" t="s">
        <v>135</v>
      </c>
      <c r="D598" t="s">
        <v>29</v>
      </c>
      <c r="E598">
        <v>3999</v>
      </c>
      <c r="F598">
        <v>1</v>
      </c>
      <c r="G598">
        <v>3999</v>
      </c>
      <c r="H598" t="s">
        <v>23</v>
      </c>
      <c r="I598" t="s">
        <v>31</v>
      </c>
      <c r="J598" t="s">
        <v>90</v>
      </c>
      <c r="K598" t="s">
        <v>18</v>
      </c>
      <c r="L598" t="str">
        <f t="shared" si="18"/>
        <v>Jan</v>
      </c>
      <c r="M598" t="str">
        <f t="shared" si="19"/>
        <v>Saturday</v>
      </c>
    </row>
    <row r="599" spans="1:13">
      <c r="A599" t="s">
        <v>837</v>
      </c>
      <c r="B599" t="s">
        <v>27</v>
      </c>
      <c r="C599" t="s">
        <v>52</v>
      </c>
      <c r="D599" t="s">
        <v>53</v>
      </c>
      <c r="E599">
        <v>199</v>
      </c>
      <c r="F599">
        <v>4</v>
      </c>
      <c r="G599">
        <v>796</v>
      </c>
      <c r="H599" t="s">
        <v>37</v>
      </c>
      <c r="I599" t="s">
        <v>57</v>
      </c>
      <c r="J599" t="s">
        <v>38</v>
      </c>
      <c r="K599" t="s">
        <v>45</v>
      </c>
      <c r="L599" t="str">
        <f t="shared" si="18"/>
        <v>Jun</v>
      </c>
      <c r="M599" t="str">
        <f t="shared" si="19"/>
        <v>Saturday</v>
      </c>
    </row>
    <row r="600" spans="1:13">
      <c r="A600" t="s">
        <v>838</v>
      </c>
      <c r="B600" t="s">
        <v>86</v>
      </c>
      <c r="C600" t="s">
        <v>13</v>
      </c>
      <c r="D600" t="s">
        <v>14</v>
      </c>
      <c r="E600">
        <v>2499</v>
      </c>
      <c r="F600">
        <v>5</v>
      </c>
      <c r="G600">
        <v>12495</v>
      </c>
      <c r="H600" t="s">
        <v>89</v>
      </c>
      <c r="I600" t="s">
        <v>57</v>
      </c>
      <c r="J600" t="s">
        <v>17</v>
      </c>
      <c r="K600" t="s">
        <v>18</v>
      </c>
      <c r="L600" t="str">
        <f t="shared" si="18"/>
        <v>May</v>
      </c>
      <c r="M600" t="str">
        <f t="shared" si="19"/>
        <v>Friday</v>
      </c>
    </row>
    <row r="601" spans="1:13">
      <c r="A601" t="s">
        <v>839</v>
      </c>
      <c r="B601" t="s">
        <v>377</v>
      </c>
      <c r="C601" t="s">
        <v>122</v>
      </c>
      <c r="D601" t="s">
        <v>29</v>
      </c>
      <c r="E601">
        <v>1299</v>
      </c>
      <c r="F601">
        <v>4</v>
      </c>
      <c r="G601">
        <v>5196</v>
      </c>
      <c r="H601" t="s">
        <v>71</v>
      </c>
      <c r="I601" t="s">
        <v>16</v>
      </c>
      <c r="J601" t="s">
        <v>25</v>
      </c>
      <c r="K601" t="s">
        <v>18</v>
      </c>
      <c r="L601" t="str">
        <f t="shared" si="18"/>
        <v>Jun</v>
      </c>
      <c r="M601" t="str">
        <f t="shared" si="19"/>
        <v>Friday</v>
      </c>
    </row>
    <row r="602" spans="1:13">
      <c r="A602" t="s">
        <v>840</v>
      </c>
      <c r="B602" t="s">
        <v>189</v>
      </c>
      <c r="C602" t="s">
        <v>60</v>
      </c>
      <c r="D602" t="s">
        <v>61</v>
      </c>
      <c r="E602">
        <v>899</v>
      </c>
      <c r="F602">
        <v>1</v>
      </c>
      <c r="G602">
        <v>899</v>
      </c>
      <c r="H602" t="s">
        <v>23</v>
      </c>
      <c r="I602" t="s">
        <v>67</v>
      </c>
      <c r="J602" t="s">
        <v>32</v>
      </c>
      <c r="K602" t="s">
        <v>18</v>
      </c>
      <c r="L602" t="str">
        <f t="shared" si="18"/>
        <v>Apr</v>
      </c>
      <c r="M602" t="str">
        <f t="shared" si="19"/>
        <v>Sunday</v>
      </c>
    </row>
    <row r="603" spans="1:13">
      <c r="A603" t="s">
        <v>841</v>
      </c>
      <c r="B603" t="s">
        <v>121</v>
      </c>
      <c r="C603" t="s">
        <v>135</v>
      </c>
      <c r="D603" t="s">
        <v>29</v>
      </c>
      <c r="E603">
        <v>3999</v>
      </c>
      <c r="F603">
        <v>1</v>
      </c>
      <c r="G603">
        <v>3999</v>
      </c>
      <c r="H603" t="s">
        <v>89</v>
      </c>
      <c r="I603" t="s">
        <v>63</v>
      </c>
      <c r="J603" t="s">
        <v>25</v>
      </c>
      <c r="K603" t="s">
        <v>18</v>
      </c>
      <c r="L603" t="str">
        <f t="shared" si="18"/>
        <v>Jan</v>
      </c>
      <c r="M603" t="str">
        <f t="shared" si="19"/>
        <v>Wednesday</v>
      </c>
    </row>
    <row r="604" spans="1:13">
      <c r="A604" t="s">
        <v>842</v>
      </c>
      <c r="B604" t="s">
        <v>205</v>
      </c>
      <c r="C604" t="s">
        <v>80</v>
      </c>
      <c r="D604" t="s">
        <v>81</v>
      </c>
      <c r="E604">
        <v>299</v>
      </c>
      <c r="F604">
        <v>2</v>
      </c>
      <c r="G604">
        <v>598</v>
      </c>
      <c r="H604" t="s">
        <v>66</v>
      </c>
      <c r="I604" t="s">
        <v>125</v>
      </c>
      <c r="J604" t="s">
        <v>17</v>
      </c>
      <c r="K604" t="s">
        <v>33</v>
      </c>
      <c r="L604" t="str">
        <f t="shared" si="18"/>
        <v>Jan</v>
      </c>
      <c r="M604" t="str">
        <f t="shared" si="19"/>
        <v>Wednesday</v>
      </c>
    </row>
    <row r="605" spans="1:13">
      <c r="A605" t="s">
        <v>843</v>
      </c>
      <c r="B605" t="s">
        <v>200</v>
      </c>
      <c r="C605" t="s">
        <v>52</v>
      </c>
      <c r="D605" t="s">
        <v>53</v>
      </c>
      <c r="E605">
        <v>199</v>
      </c>
      <c r="F605">
        <v>4</v>
      </c>
      <c r="G605">
        <v>796</v>
      </c>
      <c r="H605" t="s">
        <v>71</v>
      </c>
      <c r="I605" t="s">
        <v>24</v>
      </c>
      <c r="J605" t="s">
        <v>90</v>
      </c>
      <c r="K605" t="s">
        <v>45</v>
      </c>
      <c r="L605" t="str">
        <f t="shared" si="18"/>
        <v>Apr</v>
      </c>
      <c r="M605" t="str">
        <f t="shared" si="19"/>
        <v>Friday</v>
      </c>
    </row>
    <row r="606" spans="1:13">
      <c r="A606" t="s">
        <v>844</v>
      </c>
      <c r="B606" t="s">
        <v>373</v>
      </c>
      <c r="C606" t="s">
        <v>52</v>
      </c>
      <c r="D606" t="s">
        <v>53</v>
      </c>
      <c r="E606">
        <v>199</v>
      </c>
      <c r="F606">
        <v>2</v>
      </c>
      <c r="G606">
        <v>398</v>
      </c>
      <c r="H606" t="s">
        <v>23</v>
      </c>
      <c r="I606" t="s">
        <v>57</v>
      </c>
      <c r="J606" t="s">
        <v>38</v>
      </c>
      <c r="K606" t="s">
        <v>18</v>
      </c>
      <c r="L606" t="str">
        <f t="shared" si="18"/>
        <v>Mar</v>
      </c>
      <c r="M606" t="str">
        <f t="shared" si="19"/>
        <v>Wednesday</v>
      </c>
    </row>
    <row r="607" spans="1:13">
      <c r="A607" t="s">
        <v>845</v>
      </c>
      <c r="B607" t="s">
        <v>331</v>
      </c>
      <c r="C607" t="s">
        <v>101</v>
      </c>
      <c r="D607" t="s">
        <v>81</v>
      </c>
      <c r="E607">
        <v>499</v>
      </c>
      <c r="F607">
        <v>5</v>
      </c>
      <c r="G607">
        <v>2495</v>
      </c>
      <c r="H607" t="s">
        <v>56</v>
      </c>
      <c r="I607" t="s">
        <v>67</v>
      </c>
      <c r="J607" t="s">
        <v>38</v>
      </c>
      <c r="K607" t="s">
        <v>18</v>
      </c>
      <c r="L607" t="str">
        <f t="shared" si="18"/>
        <v>May</v>
      </c>
      <c r="M607" t="str">
        <f t="shared" si="19"/>
        <v>Wednesday</v>
      </c>
    </row>
    <row r="608" spans="1:13">
      <c r="A608" t="s">
        <v>846</v>
      </c>
      <c r="B608" t="s">
        <v>406</v>
      </c>
      <c r="C608" t="s">
        <v>28</v>
      </c>
      <c r="D608" t="s">
        <v>29</v>
      </c>
      <c r="E608">
        <v>1299</v>
      </c>
      <c r="F608">
        <v>5</v>
      </c>
      <c r="G608">
        <v>6495</v>
      </c>
      <c r="H608" t="s">
        <v>186</v>
      </c>
      <c r="I608" t="s">
        <v>63</v>
      </c>
      <c r="J608" t="s">
        <v>25</v>
      </c>
      <c r="K608" t="s">
        <v>18</v>
      </c>
      <c r="L608" t="str">
        <f t="shared" si="18"/>
        <v>Feb</v>
      </c>
      <c r="M608" t="str">
        <f t="shared" si="19"/>
        <v>Wednesday</v>
      </c>
    </row>
    <row r="609" spans="1:13">
      <c r="A609" t="s">
        <v>847</v>
      </c>
      <c r="B609" t="s">
        <v>84</v>
      </c>
      <c r="C609" t="s">
        <v>80</v>
      </c>
      <c r="D609" t="s">
        <v>81</v>
      </c>
      <c r="E609">
        <v>299</v>
      </c>
      <c r="F609">
        <v>5</v>
      </c>
      <c r="G609">
        <v>1495</v>
      </c>
      <c r="H609" t="s">
        <v>71</v>
      </c>
      <c r="I609" t="s">
        <v>16</v>
      </c>
      <c r="J609" t="s">
        <v>32</v>
      </c>
      <c r="K609" t="s">
        <v>18</v>
      </c>
      <c r="L609" t="str">
        <f t="shared" si="18"/>
        <v>Mar</v>
      </c>
      <c r="M609" t="str">
        <f t="shared" si="19"/>
        <v>Saturday</v>
      </c>
    </row>
    <row r="610" spans="1:13">
      <c r="A610" t="s">
        <v>848</v>
      </c>
      <c r="B610" t="s">
        <v>365</v>
      </c>
      <c r="C610" t="s">
        <v>28</v>
      </c>
      <c r="D610" t="s">
        <v>29</v>
      </c>
      <c r="E610">
        <v>1299</v>
      </c>
      <c r="F610">
        <v>2</v>
      </c>
      <c r="G610">
        <v>2598</v>
      </c>
      <c r="H610" t="s">
        <v>71</v>
      </c>
      <c r="I610" t="s">
        <v>57</v>
      </c>
      <c r="J610" t="s">
        <v>90</v>
      </c>
      <c r="K610" t="s">
        <v>45</v>
      </c>
      <c r="L610" t="str">
        <f t="shared" si="18"/>
        <v>Jan</v>
      </c>
      <c r="M610" t="str">
        <f t="shared" si="19"/>
        <v>Monday</v>
      </c>
    </row>
    <row r="611" spans="1:13">
      <c r="A611" t="s">
        <v>849</v>
      </c>
      <c r="B611" t="s">
        <v>329</v>
      </c>
      <c r="C611" t="s">
        <v>122</v>
      </c>
      <c r="D611" t="s">
        <v>29</v>
      </c>
      <c r="E611">
        <v>1299</v>
      </c>
      <c r="F611">
        <v>2</v>
      </c>
      <c r="G611">
        <v>2598</v>
      </c>
      <c r="H611" t="s">
        <v>23</v>
      </c>
      <c r="I611" t="s">
        <v>31</v>
      </c>
      <c r="J611" t="s">
        <v>90</v>
      </c>
      <c r="K611" t="s">
        <v>18</v>
      </c>
      <c r="L611" t="str">
        <f t="shared" si="18"/>
        <v>May</v>
      </c>
      <c r="M611" t="str">
        <f t="shared" si="19"/>
        <v>Sunday</v>
      </c>
    </row>
    <row r="612" spans="1:13">
      <c r="A612" t="s">
        <v>850</v>
      </c>
      <c r="B612" t="s">
        <v>553</v>
      </c>
      <c r="C612" t="s">
        <v>135</v>
      </c>
      <c r="D612" t="s">
        <v>29</v>
      </c>
      <c r="E612">
        <v>3999</v>
      </c>
      <c r="F612">
        <v>5</v>
      </c>
      <c r="G612">
        <v>19995</v>
      </c>
      <c r="H612" t="s">
        <v>37</v>
      </c>
      <c r="I612" t="s">
        <v>67</v>
      </c>
      <c r="J612" t="s">
        <v>38</v>
      </c>
      <c r="K612" t="s">
        <v>33</v>
      </c>
      <c r="L612" t="str">
        <f t="shared" si="18"/>
        <v>Mar</v>
      </c>
      <c r="M612" t="str">
        <f t="shared" si="19"/>
        <v>Tuesday</v>
      </c>
    </row>
    <row r="613" spans="1:13">
      <c r="A613" t="s">
        <v>851</v>
      </c>
      <c r="B613" t="s">
        <v>682</v>
      </c>
      <c r="C613" t="s">
        <v>28</v>
      </c>
      <c r="D613" t="s">
        <v>29</v>
      </c>
      <c r="E613">
        <v>1299</v>
      </c>
      <c r="F613">
        <v>4</v>
      </c>
      <c r="G613">
        <v>5196</v>
      </c>
      <c r="H613" t="s">
        <v>71</v>
      </c>
      <c r="I613" t="s">
        <v>98</v>
      </c>
      <c r="J613" t="s">
        <v>17</v>
      </c>
      <c r="K613" t="s">
        <v>45</v>
      </c>
      <c r="L613" t="str">
        <f t="shared" si="18"/>
        <v>Feb</v>
      </c>
      <c r="M613" t="str">
        <f t="shared" si="19"/>
        <v>Monday</v>
      </c>
    </row>
    <row r="614" spans="1:13">
      <c r="A614" t="s">
        <v>852</v>
      </c>
      <c r="B614" t="s">
        <v>450</v>
      </c>
      <c r="C614" t="s">
        <v>101</v>
      </c>
      <c r="D614" t="s">
        <v>81</v>
      </c>
      <c r="E614">
        <v>499</v>
      </c>
      <c r="F614">
        <v>5</v>
      </c>
      <c r="G614">
        <v>2495</v>
      </c>
      <c r="H614" t="s">
        <v>62</v>
      </c>
      <c r="I614" t="s">
        <v>77</v>
      </c>
      <c r="J614" t="s">
        <v>90</v>
      </c>
      <c r="K614" t="s">
        <v>18</v>
      </c>
      <c r="L614" t="str">
        <f t="shared" si="18"/>
        <v>Jan</v>
      </c>
      <c r="M614" t="str">
        <f t="shared" si="19"/>
        <v>Saturday</v>
      </c>
    </row>
    <row r="615" spans="1:13">
      <c r="A615" t="s">
        <v>853</v>
      </c>
      <c r="B615" t="s">
        <v>415</v>
      </c>
      <c r="C615" t="s">
        <v>28</v>
      </c>
      <c r="D615" t="s">
        <v>29</v>
      </c>
      <c r="E615">
        <v>1299</v>
      </c>
      <c r="F615">
        <v>4</v>
      </c>
      <c r="G615">
        <v>5196</v>
      </c>
      <c r="H615" t="s">
        <v>119</v>
      </c>
      <c r="I615" t="s">
        <v>44</v>
      </c>
      <c r="J615" t="s">
        <v>32</v>
      </c>
      <c r="K615" t="s">
        <v>18</v>
      </c>
      <c r="L615" t="str">
        <f t="shared" si="18"/>
        <v>May</v>
      </c>
      <c r="M615" t="str">
        <f t="shared" si="19"/>
        <v>Tuesday</v>
      </c>
    </row>
    <row r="616" spans="1:13">
      <c r="A616" t="s">
        <v>854</v>
      </c>
      <c r="B616" t="s">
        <v>51</v>
      </c>
      <c r="C616" t="s">
        <v>87</v>
      </c>
      <c r="D616" t="s">
        <v>88</v>
      </c>
      <c r="E616">
        <v>5499</v>
      </c>
      <c r="F616">
        <v>1</v>
      </c>
      <c r="G616">
        <v>5499</v>
      </c>
      <c r="H616" t="s">
        <v>186</v>
      </c>
      <c r="I616" t="s">
        <v>44</v>
      </c>
      <c r="J616" t="s">
        <v>90</v>
      </c>
      <c r="K616" t="s">
        <v>45</v>
      </c>
      <c r="L616" t="str">
        <f t="shared" si="18"/>
        <v>May</v>
      </c>
      <c r="M616" t="str">
        <f t="shared" si="19"/>
        <v>Monday</v>
      </c>
    </row>
    <row r="617" spans="1:13">
      <c r="A617" t="s">
        <v>855</v>
      </c>
      <c r="B617" t="s">
        <v>154</v>
      </c>
      <c r="C617" t="s">
        <v>76</v>
      </c>
      <c r="D617" t="s">
        <v>49</v>
      </c>
      <c r="E617">
        <v>1599</v>
      </c>
      <c r="F617">
        <v>2</v>
      </c>
      <c r="G617">
        <v>3198</v>
      </c>
      <c r="H617" t="s">
        <v>23</v>
      </c>
      <c r="I617" t="s">
        <v>31</v>
      </c>
      <c r="J617" t="s">
        <v>25</v>
      </c>
      <c r="K617" t="s">
        <v>33</v>
      </c>
      <c r="L617" t="str">
        <f t="shared" si="18"/>
        <v>Apr</v>
      </c>
      <c r="M617" t="str">
        <f t="shared" si="19"/>
        <v>Tuesday</v>
      </c>
    </row>
    <row r="618" spans="1:13">
      <c r="A618" t="s">
        <v>856</v>
      </c>
      <c r="B618" t="s">
        <v>183</v>
      </c>
      <c r="C618" t="s">
        <v>60</v>
      </c>
      <c r="D618" t="s">
        <v>61</v>
      </c>
      <c r="E618">
        <v>899</v>
      </c>
      <c r="F618">
        <v>2</v>
      </c>
      <c r="G618">
        <v>1798</v>
      </c>
      <c r="H618" t="s">
        <v>89</v>
      </c>
      <c r="I618" t="s">
        <v>57</v>
      </c>
      <c r="J618" t="s">
        <v>38</v>
      </c>
      <c r="K618" t="s">
        <v>45</v>
      </c>
      <c r="L618" t="str">
        <f t="shared" si="18"/>
        <v>Jan</v>
      </c>
      <c r="M618" t="str">
        <f t="shared" si="19"/>
        <v>Tuesday</v>
      </c>
    </row>
    <row r="619" spans="1:13">
      <c r="A619" t="s">
        <v>857</v>
      </c>
      <c r="B619" t="s">
        <v>73</v>
      </c>
      <c r="C619" t="s">
        <v>76</v>
      </c>
      <c r="D619" t="s">
        <v>49</v>
      </c>
      <c r="E619">
        <v>1599</v>
      </c>
      <c r="F619">
        <v>4</v>
      </c>
      <c r="G619">
        <v>6396</v>
      </c>
      <c r="H619" t="s">
        <v>23</v>
      </c>
      <c r="I619" t="s">
        <v>16</v>
      </c>
      <c r="J619" t="s">
        <v>32</v>
      </c>
      <c r="K619" t="s">
        <v>45</v>
      </c>
      <c r="L619" t="str">
        <f t="shared" si="18"/>
        <v>Feb</v>
      </c>
      <c r="M619" t="str">
        <f t="shared" si="19"/>
        <v>Thursday</v>
      </c>
    </row>
    <row r="620" spans="1:13">
      <c r="A620" t="s">
        <v>858</v>
      </c>
      <c r="B620" t="s">
        <v>97</v>
      </c>
      <c r="C620" t="s">
        <v>135</v>
      </c>
      <c r="D620" t="s">
        <v>29</v>
      </c>
      <c r="E620">
        <v>3999</v>
      </c>
      <c r="F620">
        <v>1</v>
      </c>
      <c r="G620">
        <v>3999</v>
      </c>
      <c r="H620" t="s">
        <v>157</v>
      </c>
      <c r="I620" t="s">
        <v>16</v>
      </c>
      <c r="J620" t="s">
        <v>25</v>
      </c>
      <c r="K620" t="s">
        <v>45</v>
      </c>
      <c r="L620" t="str">
        <f t="shared" si="18"/>
        <v>Mar</v>
      </c>
      <c r="M620" t="str">
        <f t="shared" si="19"/>
        <v>Sunday</v>
      </c>
    </row>
    <row r="621" spans="1:13">
      <c r="A621" t="s">
        <v>859</v>
      </c>
      <c r="B621" t="s">
        <v>395</v>
      </c>
      <c r="C621" t="s">
        <v>87</v>
      </c>
      <c r="D621" t="s">
        <v>88</v>
      </c>
      <c r="E621">
        <v>5499</v>
      </c>
      <c r="F621">
        <v>3</v>
      </c>
      <c r="G621">
        <v>16497</v>
      </c>
      <c r="H621" t="s">
        <v>37</v>
      </c>
      <c r="I621" t="s">
        <v>44</v>
      </c>
      <c r="J621" t="s">
        <v>38</v>
      </c>
      <c r="K621" t="s">
        <v>18</v>
      </c>
      <c r="L621" t="str">
        <f t="shared" si="18"/>
        <v>Apr</v>
      </c>
      <c r="M621" t="str">
        <f t="shared" si="19"/>
        <v>Sunday</v>
      </c>
    </row>
    <row r="622" spans="1:13">
      <c r="A622" t="s">
        <v>860</v>
      </c>
      <c r="B622" t="s">
        <v>546</v>
      </c>
      <c r="C622" t="s">
        <v>36</v>
      </c>
      <c r="D622" t="s">
        <v>29</v>
      </c>
      <c r="E622">
        <v>1999</v>
      </c>
      <c r="F622">
        <v>3</v>
      </c>
      <c r="G622">
        <v>5997</v>
      </c>
      <c r="H622" t="s">
        <v>37</v>
      </c>
      <c r="I622" t="s">
        <v>24</v>
      </c>
      <c r="J622" t="s">
        <v>25</v>
      </c>
      <c r="K622" t="s">
        <v>18</v>
      </c>
      <c r="L622" t="str">
        <f t="shared" si="18"/>
        <v>Feb</v>
      </c>
      <c r="M622" t="str">
        <f t="shared" si="19"/>
        <v>Tuesday</v>
      </c>
    </row>
    <row r="623" spans="1:13">
      <c r="A623" t="s">
        <v>861</v>
      </c>
      <c r="B623" t="s">
        <v>161</v>
      </c>
      <c r="C623" t="s">
        <v>162</v>
      </c>
      <c r="D623" t="s">
        <v>29</v>
      </c>
      <c r="E623">
        <v>1799</v>
      </c>
      <c r="F623">
        <v>1</v>
      </c>
      <c r="G623">
        <v>1799</v>
      </c>
      <c r="H623" t="s">
        <v>186</v>
      </c>
      <c r="I623" t="s">
        <v>125</v>
      </c>
      <c r="J623" t="s">
        <v>32</v>
      </c>
      <c r="K623" t="s">
        <v>18</v>
      </c>
      <c r="L623" t="str">
        <f t="shared" si="18"/>
        <v>Apr</v>
      </c>
      <c r="M623" t="str">
        <f t="shared" si="19"/>
        <v>Friday</v>
      </c>
    </row>
    <row r="624" spans="1:13">
      <c r="A624" t="s">
        <v>862</v>
      </c>
      <c r="B624" t="s">
        <v>561</v>
      </c>
      <c r="C624" t="s">
        <v>28</v>
      </c>
      <c r="D624" t="s">
        <v>29</v>
      </c>
      <c r="E624">
        <v>1299</v>
      </c>
      <c r="F624">
        <v>3</v>
      </c>
      <c r="G624">
        <v>3897</v>
      </c>
      <c r="H624" t="s">
        <v>186</v>
      </c>
      <c r="I624" t="s">
        <v>77</v>
      </c>
      <c r="J624" t="s">
        <v>90</v>
      </c>
      <c r="K624" t="s">
        <v>18</v>
      </c>
      <c r="L624" t="str">
        <f t="shared" si="18"/>
        <v>Jun</v>
      </c>
      <c r="M624" t="str">
        <f t="shared" si="19"/>
        <v>Monday</v>
      </c>
    </row>
    <row r="625" spans="1:13">
      <c r="A625" t="s">
        <v>863</v>
      </c>
      <c r="B625" t="s">
        <v>314</v>
      </c>
      <c r="C625" t="s">
        <v>87</v>
      </c>
      <c r="D625" t="s">
        <v>88</v>
      </c>
      <c r="E625">
        <v>5499</v>
      </c>
      <c r="F625">
        <v>5</v>
      </c>
      <c r="G625">
        <v>27495</v>
      </c>
      <c r="H625" t="s">
        <v>23</v>
      </c>
      <c r="I625" t="s">
        <v>44</v>
      </c>
      <c r="J625" t="s">
        <v>38</v>
      </c>
      <c r="K625" t="s">
        <v>33</v>
      </c>
      <c r="L625" t="str">
        <f t="shared" si="18"/>
        <v>Feb</v>
      </c>
      <c r="M625" t="str">
        <f t="shared" si="19"/>
        <v>Friday</v>
      </c>
    </row>
    <row r="626" spans="1:13">
      <c r="A626" t="s">
        <v>864</v>
      </c>
      <c r="B626" t="s">
        <v>161</v>
      </c>
      <c r="C626" t="s">
        <v>48</v>
      </c>
      <c r="D626" t="s">
        <v>49</v>
      </c>
      <c r="E626">
        <v>699</v>
      </c>
      <c r="F626">
        <v>1</v>
      </c>
      <c r="G626">
        <v>699</v>
      </c>
      <c r="H626" t="s">
        <v>157</v>
      </c>
      <c r="I626" t="s">
        <v>44</v>
      </c>
      <c r="J626" t="s">
        <v>32</v>
      </c>
      <c r="K626" t="s">
        <v>18</v>
      </c>
      <c r="L626" t="str">
        <f t="shared" si="18"/>
        <v>Apr</v>
      </c>
      <c r="M626" t="str">
        <f t="shared" si="19"/>
        <v>Friday</v>
      </c>
    </row>
    <row r="627" spans="1:13">
      <c r="A627" t="s">
        <v>865</v>
      </c>
      <c r="B627" t="s">
        <v>375</v>
      </c>
      <c r="C627" t="s">
        <v>76</v>
      </c>
      <c r="D627" t="s">
        <v>49</v>
      </c>
      <c r="E627">
        <v>1599</v>
      </c>
      <c r="F627">
        <v>4</v>
      </c>
      <c r="G627">
        <v>6396</v>
      </c>
      <c r="H627" t="s">
        <v>56</v>
      </c>
      <c r="I627" t="s">
        <v>98</v>
      </c>
      <c r="J627" t="s">
        <v>32</v>
      </c>
      <c r="K627" t="s">
        <v>18</v>
      </c>
      <c r="L627" t="str">
        <f t="shared" si="18"/>
        <v>Jan</v>
      </c>
      <c r="M627" t="str">
        <f t="shared" si="19"/>
        <v>Thursday</v>
      </c>
    </row>
    <row r="628" spans="1:13">
      <c r="A628" t="s">
        <v>866</v>
      </c>
      <c r="B628" t="s">
        <v>300</v>
      </c>
      <c r="C628" t="s">
        <v>76</v>
      </c>
      <c r="D628" t="s">
        <v>49</v>
      </c>
      <c r="E628">
        <v>1599</v>
      </c>
      <c r="F628">
        <v>1</v>
      </c>
      <c r="G628">
        <v>1599</v>
      </c>
      <c r="H628" t="s">
        <v>37</v>
      </c>
      <c r="I628" t="s">
        <v>63</v>
      </c>
      <c r="J628" t="s">
        <v>25</v>
      </c>
      <c r="K628" t="s">
        <v>18</v>
      </c>
      <c r="L628" t="str">
        <f t="shared" si="18"/>
        <v>Jan</v>
      </c>
      <c r="M628" t="str">
        <f t="shared" si="19"/>
        <v>Friday</v>
      </c>
    </row>
    <row r="629" spans="1:13">
      <c r="A629" t="s">
        <v>867</v>
      </c>
      <c r="B629" t="s">
        <v>237</v>
      </c>
      <c r="C629" t="s">
        <v>52</v>
      </c>
      <c r="D629" t="s">
        <v>53</v>
      </c>
      <c r="E629">
        <v>199</v>
      </c>
      <c r="F629">
        <v>1</v>
      </c>
      <c r="G629">
        <v>199</v>
      </c>
      <c r="H629" t="s">
        <v>89</v>
      </c>
      <c r="I629" t="s">
        <v>105</v>
      </c>
      <c r="J629" t="s">
        <v>32</v>
      </c>
      <c r="K629" t="s">
        <v>45</v>
      </c>
      <c r="L629" t="str">
        <f t="shared" si="18"/>
        <v>Jan</v>
      </c>
      <c r="M629" t="str">
        <f t="shared" si="19"/>
        <v>Thursday</v>
      </c>
    </row>
    <row r="630" spans="1:13">
      <c r="A630" t="s">
        <v>868</v>
      </c>
      <c r="B630" t="s">
        <v>167</v>
      </c>
      <c r="C630" t="s">
        <v>76</v>
      </c>
      <c r="D630" t="s">
        <v>49</v>
      </c>
      <c r="E630">
        <v>1599</v>
      </c>
      <c r="F630">
        <v>4</v>
      </c>
      <c r="G630">
        <v>6396</v>
      </c>
      <c r="H630" t="s">
        <v>66</v>
      </c>
      <c r="I630" t="s">
        <v>67</v>
      </c>
      <c r="J630" t="s">
        <v>25</v>
      </c>
      <c r="K630" t="s">
        <v>18</v>
      </c>
      <c r="L630" t="str">
        <f t="shared" si="18"/>
        <v>Mar</v>
      </c>
      <c r="M630" t="str">
        <f t="shared" si="19"/>
        <v>Thursday</v>
      </c>
    </row>
    <row r="631" spans="1:13">
      <c r="A631" t="s">
        <v>869</v>
      </c>
      <c r="B631" t="s">
        <v>75</v>
      </c>
      <c r="C631" t="s">
        <v>76</v>
      </c>
      <c r="D631" t="s">
        <v>49</v>
      </c>
      <c r="E631">
        <v>1599</v>
      </c>
      <c r="F631">
        <v>5</v>
      </c>
      <c r="G631">
        <v>7995</v>
      </c>
      <c r="H631" t="s">
        <v>157</v>
      </c>
      <c r="I631" t="s">
        <v>44</v>
      </c>
      <c r="J631" t="s">
        <v>32</v>
      </c>
      <c r="K631" t="s">
        <v>18</v>
      </c>
      <c r="L631" t="str">
        <f t="shared" si="18"/>
        <v>Jun</v>
      </c>
      <c r="M631" t="str">
        <f t="shared" si="19"/>
        <v>Thursday</v>
      </c>
    </row>
    <row r="632" spans="1:13">
      <c r="A632" t="s">
        <v>870</v>
      </c>
      <c r="B632" t="s">
        <v>408</v>
      </c>
      <c r="C632" t="s">
        <v>162</v>
      </c>
      <c r="D632" t="s">
        <v>29</v>
      </c>
      <c r="E632">
        <v>1799</v>
      </c>
      <c r="F632">
        <v>1</v>
      </c>
      <c r="G632">
        <v>1799</v>
      </c>
      <c r="H632" t="s">
        <v>89</v>
      </c>
      <c r="I632" t="s">
        <v>16</v>
      </c>
      <c r="J632" t="s">
        <v>25</v>
      </c>
      <c r="K632" t="s">
        <v>18</v>
      </c>
      <c r="L632" t="str">
        <f t="shared" si="18"/>
        <v>Mar</v>
      </c>
      <c r="M632" t="str">
        <f t="shared" si="19"/>
        <v>Monday</v>
      </c>
    </row>
    <row r="633" spans="1:13">
      <c r="A633" t="s">
        <v>871</v>
      </c>
      <c r="B633" t="s">
        <v>134</v>
      </c>
      <c r="C633" t="s">
        <v>48</v>
      </c>
      <c r="D633" t="s">
        <v>49</v>
      </c>
      <c r="E633">
        <v>699</v>
      </c>
      <c r="F633">
        <v>3</v>
      </c>
      <c r="G633">
        <v>2097</v>
      </c>
      <c r="H633" t="s">
        <v>56</v>
      </c>
      <c r="I633" t="s">
        <v>57</v>
      </c>
      <c r="J633" t="s">
        <v>25</v>
      </c>
      <c r="K633" t="s">
        <v>33</v>
      </c>
      <c r="L633" t="str">
        <f t="shared" si="18"/>
        <v>Jun</v>
      </c>
      <c r="M633" t="str">
        <f t="shared" si="19"/>
        <v>Tuesday</v>
      </c>
    </row>
    <row r="634" spans="1:13">
      <c r="A634" t="s">
        <v>872</v>
      </c>
      <c r="B634" t="s">
        <v>459</v>
      </c>
      <c r="C634" t="s">
        <v>80</v>
      </c>
      <c r="D634" t="s">
        <v>81</v>
      </c>
      <c r="E634">
        <v>299</v>
      </c>
      <c r="F634">
        <v>4</v>
      </c>
      <c r="G634">
        <v>1196</v>
      </c>
      <c r="H634" t="s">
        <v>56</v>
      </c>
      <c r="I634" t="s">
        <v>44</v>
      </c>
      <c r="J634" t="s">
        <v>90</v>
      </c>
      <c r="K634" t="s">
        <v>18</v>
      </c>
      <c r="L634" t="str">
        <f t="shared" si="18"/>
        <v>Apr</v>
      </c>
      <c r="M634" t="str">
        <f t="shared" si="19"/>
        <v>Tuesday</v>
      </c>
    </row>
    <row r="635" spans="1:13">
      <c r="A635" t="s">
        <v>873</v>
      </c>
      <c r="B635" t="s">
        <v>141</v>
      </c>
      <c r="C635" t="s">
        <v>48</v>
      </c>
      <c r="D635" t="s">
        <v>49</v>
      </c>
      <c r="E635">
        <v>699</v>
      </c>
      <c r="F635">
        <v>5</v>
      </c>
      <c r="G635">
        <v>3495</v>
      </c>
      <c r="H635" t="s">
        <v>119</v>
      </c>
      <c r="I635" t="s">
        <v>31</v>
      </c>
      <c r="J635" t="s">
        <v>17</v>
      </c>
      <c r="K635" t="s">
        <v>45</v>
      </c>
      <c r="L635" t="str">
        <f t="shared" si="18"/>
        <v>May</v>
      </c>
      <c r="M635" t="str">
        <f t="shared" si="19"/>
        <v>Wednesday</v>
      </c>
    </row>
    <row r="636" spans="1:13">
      <c r="A636" t="s">
        <v>874</v>
      </c>
      <c r="B636" t="s">
        <v>343</v>
      </c>
      <c r="C636" t="s">
        <v>36</v>
      </c>
      <c r="D636" t="s">
        <v>29</v>
      </c>
      <c r="E636">
        <v>1999</v>
      </c>
      <c r="F636">
        <v>4</v>
      </c>
      <c r="G636">
        <v>7996</v>
      </c>
      <c r="H636" t="s">
        <v>102</v>
      </c>
      <c r="I636" t="s">
        <v>24</v>
      </c>
      <c r="J636" t="s">
        <v>32</v>
      </c>
      <c r="K636" t="s">
        <v>45</v>
      </c>
      <c r="L636" t="str">
        <f t="shared" si="18"/>
        <v>May</v>
      </c>
      <c r="M636" t="str">
        <f t="shared" si="19"/>
        <v>Friday</v>
      </c>
    </row>
    <row r="637" spans="1:13">
      <c r="A637" t="s">
        <v>875</v>
      </c>
      <c r="B637" t="s">
        <v>189</v>
      </c>
      <c r="C637" t="s">
        <v>48</v>
      </c>
      <c r="D637" t="s">
        <v>49</v>
      </c>
      <c r="E637">
        <v>699</v>
      </c>
      <c r="F637">
        <v>5</v>
      </c>
      <c r="G637">
        <v>3495</v>
      </c>
      <c r="H637" t="s">
        <v>56</v>
      </c>
      <c r="I637" t="s">
        <v>16</v>
      </c>
      <c r="J637" t="s">
        <v>25</v>
      </c>
      <c r="K637" t="s">
        <v>18</v>
      </c>
      <c r="L637" t="str">
        <f t="shared" si="18"/>
        <v>Apr</v>
      </c>
      <c r="M637" t="str">
        <f t="shared" si="19"/>
        <v>Sunday</v>
      </c>
    </row>
    <row r="638" spans="1:13">
      <c r="A638" t="s">
        <v>876</v>
      </c>
      <c r="B638" t="s">
        <v>445</v>
      </c>
      <c r="C638" t="s">
        <v>135</v>
      </c>
      <c r="D638" t="s">
        <v>29</v>
      </c>
      <c r="E638">
        <v>3999</v>
      </c>
      <c r="F638">
        <v>3</v>
      </c>
      <c r="G638">
        <v>11997</v>
      </c>
      <c r="H638" t="s">
        <v>102</v>
      </c>
      <c r="I638" t="s">
        <v>82</v>
      </c>
      <c r="J638" t="s">
        <v>90</v>
      </c>
      <c r="K638" t="s">
        <v>18</v>
      </c>
      <c r="L638" t="str">
        <f t="shared" si="18"/>
        <v>May</v>
      </c>
      <c r="M638" t="str">
        <f t="shared" si="19"/>
        <v>Wednesday</v>
      </c>
    </row>
    <row r="639" spans="1:13">
      <c r="A639" t="s">
        <v>877</v>
      </c>
      <c r="B639" t="s">
        <v>709</v>
      </c>
      <c r="C639" t="s">
        <v>80</v>
      </c>
      <c r="D639" t="s">
        <v>81</v>
      </c>
      <c r="E639">
        <v>299</v>
      </c>
      <c r="F639">
        <v>3</v>
      </c>
      <c r="G639">
        <v>897</v>
      </c>
      <c r="H639" t="s">
        <v>89</v>
      </c>
      <c r="I639" t="s">
        <v>24</v>
      </c>
      <c r="J639" t="s">
        <v>32</v>
      </c>
      <c r="K639" t="s">
        <v>18</v>
      </c>
      <c r="L639" t="str">
        <f t="shared" si="18"/>
        <v>Apr</v>
      </c>
      <c r="M639" t="str">
        <f t="shared" si="19"/>
        <v>Friday</v>
      </c>
    </row>
    <row r="640" spans="1:13">
      <c r="A640" t="s">
        <v>878</v>
      </c>
      <c r="B640" t="s">
        <v>132</v>
      </c>
      <c r="C640" t="s">
        <v>122</v>
      </c>
      <c r="D640" t="s">
        <v>29</v>
      </c>
      <c r="E640">
        <v>1299</v>
      </c>
      <c r="F640">
        <v>1</v>
      </c>
      <c r="G640">
        <v>1299</v>
      </c>
      <c r="H640" t="s">
        <v>71</v>
      </c>
      <c r="I640" t="s">
        <v>44</v>
      </c>
      <c r="J640" t="s">
        <v>38</v>
      </c>
      <c r="K640" t="s">
        <v>18</v>
      </c>
      <c r="L640" t="str">
        <f t="shared" si="18"/>
        <v>Mar</v>
      </c>
      <c r="M640" t="str">
        <f t="shared" si="19"/>
        <v>Friday</v>
      </c>
    </row>
    <row r="641" spans="1:13">
      <c r="A641" t="s">
        <v>879</v>
      </c>
      <c r="B641" t="s">
        <v>27</v>
      </c>
      <c r="C641" t="s">
        <v>80</v>
      </c>
      <c r="D641" t="s">
        <v>81</v>
      </c>
      <c r="E641">
        <v>299</v>
      </c>
      <c r="F641">
        <v>2</v>
      </c>
      <c r="G641">
        <v>598</v>
      </c>
      <c r="H641" t="s">
        <v>15</v>
      </c>
      <c r="I641" t="s">
        <v>98</v>
      </c>
      <c r="J641" t="s">
        <v>90</v>
      </c>
      <c r="K641" t="s">
        <v>33</v>
      </c>
      <c r="L641" t="str">
        <f t="shared" si="18"/>
        <v>Jun</v>
      </c>
      <c r="M641" t="str">
        <f t="shared" si="19"/>
        <v>Saturday</v>
      </c>
    </row>
    <row r="642" spans="1:13">
      <c r="A642" t="s">
        <v>880</v>
      </c>
      <c r="B642" t="s">
        <v>314</v>
      </c>
      <c r="C642" t="s">
        <v>80</v>
      </c>
      <c r="D642" t="s">
        <v>81</v>
      </c>
      <c r="E642">
        <v>299</v>
      </c>
      <c r="F642">
        <v>4</v>
      </c>
      <c r="G642">
        <v>1196</v>
      </c>
      <c r="H642" t="s">
        <v>62</v>
      </c>
      <c r="I642" t="s">
        <v>77</v>
      </c>
      <c r="J642" t="s">
        <v>90</v>
      </c>
      <c r="K642" t="s">
        <v>18</v>
      </c>
      <c r="L642" t="str">
        <f t="shared" si="18"/>
        <v>Feb</v>
      </c>
      <c r="M642" t="str">
        <f t="shared" si="19"/>
        <v>Friday</v>
      </c>
    </row>
    <row r="643" spans="1:13">
      <c r="A643" t="s">
        <v>881</v>
      </c>
      <c r="B643" t="s">
        <v>450</v>
      </c>
      <c r="C643" t="s">
        <v>13</v>
      </c>
      <c r="D643" t="s">
        <v>14</v>
      </c>
      <c r="E643">
        <v>2499</v>
      </c>
      <c r="F643">
        <v>3</v>
      </c>
      <c r="G643">
        <v>7497</v>
      </c>
      <c r="H643" t="s">
        <v>15</v>
      </c>
      <c r="I643" t="s">
        <v>44</v>
      </c>
      <c r="J643" t="s">
        <v>25</v>
      </c>
      <c r="K643" t="s">
        <v>18</v>
      </c>
      <c r="L643" t="str">
        <f t="shared" ref="L643:L706" si="20">TEXT(B643,"MMM")</f>
        <v>Jan</v>
      </c>
      <c r="M643" t="str">
        <f t="shared" ref="M643:M706" si="21">TEXT(B643,"dddd")</f>
        <v>Saturday</v>
      </c>
    </row>
    <row r="644" spans="1:13">
      <c r="A644" t="s">
        <v>882</v>
      </c>
      <c r="B644" t="s">
        <v>148</v>
      </c>
      <c r="C644" t="s">
        <v>48</v>
      </c>
      <c r="D644" t="s">
        <v>49</v>
      </c>
      <c r="E644">
        <v>699</v>
      </c>
      <c r="F644">
        <v>1</v>
      </c>
      <c r="G644">
        <v>699</v>
      </c>
      <c r="H644" t="s">
        <v>30</v>
      </c>
      <c r="I644" t="s">
        <v>31</v>
      </c>
      <c r="J644" t="s">
        <v>90</v>
      </c>
      <c r="K644" t="s">
        <v>18</v>
      </c>
      <c r="L644" t="str">
        <f t="shared" si="20"/>
        <v>May</v>
      </c>
      <c r="M644" t="str">
        <f t="shared" si="21"/>
        <v>Thursday</v>
      </c>
    </row>
    <row r="645" spans="1:13">
      <c r="A645" t="s">
        <v>883</v>
      </c>
      <c r="B645" t="s">
        <v>675</v>
      </c>
      <c r="C645" t="s">
        <v>122</v>
      </c>
      <c r="D645" t="s">
        <v>29</v>
      </c>
      <c r="E645">
        <v>1299</v>
      </c>
      <c r="F645">
        <v>2</v>
      </c>
      <c r="G645">
        <v>2598</v>
      </c>
      <c r="H645" t="s">
        <v>56</v>
      </c>
      <c r="I645" t="s">
        <v>16</v>
      </c>
      <c r="J645" t="s">
        <v>38</v>
      </c>
      <c r="K645" t="s">
        <v>18</v>
      </c>
      <c r="L645" t="str">
        <f t="shared" si="20"/>
        <v>Mar</v>
      </c>
      <c r="M645" t="str">
        <f t="shared" si="21"/>
        <v>Friday</v>
      </c>
    </row>
    <row r="646" spans="1:13">
      <c r="A646" t="s">
        <v>884</v>
      </c>
      <c r="B646" t="s">
        <v>132</v>
      </c>
      <c r="C646" t="s">
        <v>28</v>
      </c>
      <c r="D646" t="s">
        <v>29</v>
      </c>
      <c r="E646">
        <v>1299</v>
      </c>
      <c r="F646">
        <v>2</v>
      </c>
      <c r="G646">
        <v>2598</v>
      </c>
      <c r="H646" t="s">
        <v>23</v>
      </c>
      <c r="I646" t="s">
        <v>63</v>
      </c>
      <c r="J646" t="s">
        <v>38</v>
      </c>
      <c r="K646" t="s">
        <v>18</v>
      </c>
      <c r="L646" t="str">
        <f t="shared" si="20"/>
        <v>Mar</v>
      </c>
      <c r="M646" t="str">
        <f t="shared" si="21"/>
        <v>Friday</v>
      </c>
    </row>
    <row r="647" spans="1:13">
      <c r="A647" t="s">
        <v>885</v>
      </c>
      <c r="B647" t="s">
        <v>886</v>
      </c>
      <c r="C647" t="s">
        <v>36</v>
      </c>
      <c r="D647" t="s">
        <v>29</v>
      </c>
      <c r="E647">
        <v>1999</v>
      </c>
      <c r="F647">
        <v>2</v>
      </c>
      <c r="G647">
        <v>3998</v>
      </c>
      <c r="H647" t="s">
        <v>89</v>
      </c>
      <c r="I647" t="s">
        <v>44</v>
      </c>
      <c r="J647" t="s">
        <v>90</v>
      </c>
      <c r="K647" t="s">
        <v>18</v>
      </c>
      <c r="L647" t="str">
        <f t="shared" si="20"/>
        <v>Apr</v>
      </c>
      <c r="M647" t="str">
        <f t="shared" si="21"/>
        <v>Monday</v>
      </c>
    </row>
    <row r="648" spans="1:13">
      <c r="A648" t="s">
        <v>887</v>
      </c>
      <c r="B648" t="s">
        <v>682</v>
      </c>
      <c r="C648" t="s">
        <v>13</v>
      </c>
      <c r="D648" t="s">
        <v>14</v>
      </c>
      <c r="E648">
        <v>2499</v>
      </c>
      <c r="F648">
        <v>1</v>
      </c>
      <c r="G648">
        <v>2499</v>
      </c>
      <c r="H648" t="s">
        <v>89</v>
      </c>
      <c r="I648" t="s">
        <v>57</v>
      </c>
      <c r="J648" t="s">
        <v>38</v>
      </c>
      <c r="K648" t="s">
        <v>45</v>
      </c>
      <c r="L648" t="str">
        <f t="shared" si="20"/>
        <v>Feb</v>
      </c>
      <c r="M648" t="str">
        <f t="shared" si="21"/>
        <v>Monday</v>
      </c>
    </row>
    <row r="649" spans="1:13">
      <c r="A649" t="s">
        <v>888</v>
      </c>
      <c r="B649" t="s">
        <v>124</v>
      </c>
      <c r="C649" t="s">
        <v>21</v>
      </c>
      <c r="D649" t="s">
        <v>22</v>
      </c>
      <c r="E649">
        <v>1499</v>
      </c>
      <c r="F649">
        <v>4</v>
      </c>
      <c r="G649">
        <v>5996</v>
      </c>
      <c r="H649" t="s">
        <v>66</v>
      </c>
      <c r="I649" t="s">
        <v>44</v>
      </c>
      <c r="J649" t="s">
        <v>17</v>
      </c>
      <c r="K649" t="s">
        <v>33</v>
      </c>
      <c r="L649" t="str">
        <f t="shared" si="20"/>
        <v>Jun</v>
      </c>
      <c r="M649" t="str">
        <f t="shared" si="21"/>
        <v>Tuesday</v>
      </c>
    </row>
    <row r="650" spans="1:13">
      <c r="A650" t="s">
        <v>889</v>
      </c>
      <c r="B650" t="s">
        <v>265</v>
      </c>
      <c r="C650" t="s">
        <v>76</v>
      </c>
      <c r="D650" t="s">
        <v>49</v>
      </c>
      <c r="E650">
        <v>1599</v>
      </c>
      <c r="F650">
        <v>1</v>
      </c>
      <c r="G650">
        <v>1599</v>
      </c>
      <c r="H650" t="s">
        <v>102</v>
      </c>
      <c r="I650" t="s">
        <v>31</v>
      </c>
      <c r="J650" t="s">
        <v>25</v>
      </c>
      <c r="K650" t="s">
        <v>18</v>
      </c>
      <c r="L650" t="str">
        <f t="shared" si="20"/>
        <v>Apr</v>
      </c>
      <c r="M650" t="str">
        <f t="shared" si="21"/>
        <v>Sunday</v>
      </c>
    </row>
    <row r="651" spans="1:13">
      <c r="A651" t="s">
        <v>890</v>
      </c>
      <c r="B651" t="s">
        <v>173</v>
      </c>
      <c r="C651" t="s">
        <v>135</v>
      </c>
      <c r="D651" t="s">
        <v>29</v>
      </c>
      <c r="E651">
        <v>3999</v>
      </c>
      <c r="F651">
        <v>1</v>
      </c>
      <c r="G651">
        <v>3999</v>
      </c>
      <c r="H651" t="s">
        <v>119</v>
      </c>
      <c r="I651" t="s">
        <v>98</v>
      </c>
      <c r="J651" t="s">
        <v>90</v>
      </c>
      <c r="K651" t="s">
        <v>45</v>
      </c>
      <c r="L651" t="str">
        <f t="shared" si="20"/>
        <v>Jan</v>
      </c>
      <c r="M651" t="str">
        <f t="shared" si="21"/>
        <v>Thursday</v>
      </c>
    </row>
    <row r="652" spans="1:13">
      <c r="A652" t="s">
        <v>891</v>
      </c>
      <c r="B652" t="s">
        <v>310</v>
      </c>
      <c r="C652" t="s">
        <v>48</v>
      </c>
      <c r="D652" t="s">
        <v>49</v>
      </c>
      <c r="E652">
        <v>699</v>
      </c>
      <c r="F652">
        <v>5</v>
      </c>
      <c r="G652">
        <v>3495</v>
      </c>
      <c r="H652" t="s">
        <v>89</v>
      </c>
      <c r="I652" t="s">
        <v>57</v>
      </c>
      <c r="J652" t="s">
        <v>32</v>
      </c>
      <c r="K652" t="s">
        <v>18</v>
      </c>
      <c r="L652" t="str">
        <f t="shared" si="20"/>
        <v>Feb</v>
      </c>
      <c r="M652" t="str">
        <f t="shared" si="21"/>
        <v>Sunday</v>
      </c>
    </row>
    <row r="653" spans="1:13">
      <c r="A653" t="s">
        <v>892</v>
      </c>
      <c r="B653" t="s">
        <v>272</v>
      </c>
      <c r="C653" t="s">
        <v>80</v>
      </c>
      <c r="D653" t="s">
        <v>81</v>
      </c>
      <c r="E653">
        <v>299</v>
      </c>
      <c r="F653">
        <v>2</v>
      </c>
      <c r="G653">
        <v>598</v>
      </c>
      <c r="H653" t="s">
        <v>95</v>
      </c>
      <c r="I653" t="s">
        <v>67</v>
      </c>
      <c r="J653" t="s">
        <v>90</v>
      </c>
      <c r="K653" t="s">
        <v>33</v>
      </c>
      <c r="L653" t="str">
        <f t="shared" si="20"/>
        <v>Feb</v>
      </c>
      <c r="M653" t="str">
        <f t="shared" si="21"/>
        <v>Monday</v>
      </c>
    </row>
    <row r="654" spans="1:13">
      <c r="A654" t="s">
        <v>893</v>
      </c>
      <c r="B654" t="s">
        <v>173</v>
      </c>
      <c r="C654" t="s">
        <v>70</v>
      </c>
      <c r="D654" t="s">
        <v>29</v>
      </c>
      <c r="E654">
        <v>799</v>
      </c>
      <c r="F654">
        <v>2</v>
      </c>
      <c r="G654">
        <v>1598</v>
      </c>
      <c r="H654" t="s">
        <v>71</v>
      </c>
      <c r="I654" t="s">
        <v>31</v>
      </c>
      <c r="J654" t="s">
        <v>17</v>
      </c>
      <c r="K654" t="s">
        <v>45</v>
      </c>
      <c r="L654" t="str">
        <f t="shared" si="20"/>
        <v>Jan</v>
      </c>
      <c r="M654" t="str">
        <f t="shared" si="21"/>
        <v>Thursday</v>
      </c>
    </row>
    <row r="655" spans="1:13">
      <c r="A655" t="s">
        <v>894</v>
      </c>
      <c r="B655" t="s">
        <v>217</v>
      </c>
      <c r="C655" t="s">
        <v>28</v>
      </c>
      <c r="D655" t="s">
        <v>29</v>
      </c>
      <c r="E655">
        <v>1299</v>
      </c>
      <c r="F655">
        <v>4</v>
      </c>
      <c r="G655">
        <v>5196</v>
      </c>
      <c r="H655" t="s">
        <v>37</v>
      </c>
      <c r="I655" t="s">
        <v>57</v>
      </c>
      <c r="J655" t="s">
        <v>25</v>
      </c>
      <c r="K655" t="s">
        <v>18</v>
      </c>
      <c r="L655" t="str">
        <f t="shared" si="20"/>
        <v>Jun</v>
      </c>
      <c r="M655" t="str">
        <f t="shared" si="21"/>
        <v>Sunday</v>
      </c>
    </row>
    <row r="656" spans="1:13">
      <c r="A656" t="s">
        <v>895</v>
      </c>
      <c r="B656" t="s">
        <v>215</v>
      </c>
      <c r="C656" t="s">
        <v>36</v>
      </c>
      <c r="D656" t="s">
        <v>29</v>
      </c>
      <c r="E656">
        <v>1999</v>
      </c>
      <c r="F656">
        <v>4</v>
      </c>
      <c r="G656">
        <v>7996</v>
      </c>
      <c r="H656" t="s">
        <v>95</v>
      </c>
      <c r="I656" t="s">
        <v>63</v>
      </c>
      <c r="J656" t="s">
        <v>17</v>
      </c>
      <c r="K656" t="s">
        <v>45</v>
      </c>
      <c r="L656" t="str">
        <f t="shared" si="20"/>
        <v>Jan</v>
      </c>
      <c r="M656" t="str">
        <f t="shared" si="21"/>
        <v>Saturday</v>
      </c>
    </row>
    <row r="657" spans="1:13">
      <c r="A657" t="s">
        <v>896</v>
      </c>
      <c r="B657" t="s">
        <v>391</v>
      </c>
      <c r="C657" t="s">
        <v>76</v>
      </c>
      <c r="D657" t="s">
        <v>49</v>
      </c>
      <c r="E657">
        <v>1599</v>
      </c>
      <c r="F657">
        <v>5</v>
      </c>
      <c r="G657">
        <v>7995</v>
      </c>
      <c r="H657" t="s">
        <v>23</v>
      </c>
      <c r="I657" t="s">
        <v>77</v>
      </c>
      <c r="J657" t="s">
        <v>32</v>
      </c>
      <c r="K657" t="s">
        <v>18</v>
      </c>
      <c r="L657" t="str">
        <f t="shared" si="20"/>
        <v>May</v>
      </c>
      <c r="M657" t="str">
        <f t="shared" si="21"/>
        <v>Saturday</v>
      </c>
    </row>
    <row r="658" spans="1:13">
      <c r="A658" t="s">
        <v>897</v>
      </c>
      <c r="B658" t="s">
        <v>379</v>
      </c>
      <c r="C658" t="s">
        <v>70</v>
      </c>
      <c r="D658" t="s">
        <v>29</v>
      </c>
      <c r="E658">
        <v>799</v>
      </c>
      <c r="F658">
        <v>4</v>
      </c>
      <c r="G658">
        <v>3196</v>
      </c>
      <c r="H658" t="s">
        <v>23</v>
      </c>
      <c r="I658" t="s">
        <v>57</v>
      </c>
      <c r="J658" t="s">
        <v>25</v>
      </c>
      <c r="K658" t="s">
        <v>18</v>
      </c>
      <c r="L658" t="str">
        <f t="shared" si="20"/>
        <v>Jun</v>
      </c>
      <c r="M658" t="str">
        <f t="shared" si="21"/>
        <v>Friday</v>
      </c>
    </row>
    <row r="659" spans="1:13">
      <c r="A659" t="s">
        <v>898</v>
      </c>
      <c r="B659" t="s">
        <v>65</v>
      </c>
      <c r="C659" t="s">
        <v>70</v>
      </c>
      <c r="D659" t="s">
        <v>29</v>
      </c>
      <c r="E659">
        <v>799</v>
      </c>
      <c r="F659">
        <v>2</v>
      </c>
      <c r="G659">
        <v>1598</v>
      </c>
      <c r="H659" t="s">
        <v>66</v>
      </c>
      <c r="I659" t="s">
        <v>125</v>
      </c>
      <c r="J659" t="s">
        <v>17</v>
      </c>
      <c r="K659" t="s">
        <v>45</v>
      </c>
      <c r="L659" t="str">
        <f t="shared" si="20"/>
        <v>Jan</v>
      </c>
      <c r="M659" t="str">
        <f t="shared" si="21"/>
        <v>Thursday</v>
      </c>
    </row>
    <row r="660" spans="1:13">
      <c r="A660" t="s">
        <v>899</v>
      </c>
      <c r="B660" t="s">
        <v>42</v>
      </c>
      <c r="C660" t="s">
        <v>135</v>
      </c>
      <c r="D660" t="s">
        <v>29</v>
      </c>
      <c r="E660">
        <v>3999</v>
      </c>
      <c r="F660">
        <v>5</v>
      </c>
      <c r="G660">
        <v>19995</v>
      </c>
      <c r="H660" t="s">
        <v>157</v>
      </c>
      <c r="I660" t="s">
        <v>24</v>
      </c>
      <c r="J660" t="s">
        <v>17</v>
      </c>
      <c r="K660" t="s">
        <v>18</v>
      </c>
      <c r="L660" t="str">
        <f t="shared" si="20"/>
        <v>Mar</v>
      </c>
      <c r="M660" t="str">
        <f t="shared" si="21"/>
        <v>Wednesday</v>
      </c>
    </row>
    <row r="661" spans="1:13">
      <c r="A661" t="s">
        <v>900</v>
      </c>
      <c r="B661" t="s">
        <v>210</v>
      </c>
      <c r="C661" t="s">
        <v>36</v>
      </c>
      <c r="D661" t="s">
        <v>29</v>
      </c>
      <c r="E661">
        <v>1999</v>
      </c>
      <c r="F661">
        <v>1</v>
      </c>
      <c r="G661">
        <v>1999</v>
      </c>
      <c r="H661" t="s">
        <v>56</v>
      </c>
      <c r="I661" t="s">
        <v>82</v>
      </c>
      <c r="J661" t="s">
        <v>17</v>
      </c>
      <c r="K661" t="s">
        <v>18</v>
      </c>
      <c r="L661" t="str">
        <f t="shared" si="20"/>
        <v>Apr</v>
      </c>
      <c r="M661" t="str">
        <f t="shared" si="21"/>
        <v>Wednesday</v>
      </c>
    </row>
    <row r="662" spans="1:13">
      <c r="A662" t="s">
        <v>901</v>
      </c>
      <c r="B662" t="s">
        <v>474</v>
      </c>
      <c r="C662" t="s">
        <v>122</v>
      </c>
      <c r="D662" t="s">
        <v>29</v>
      </c>
      <c r="E662">
        <v>1299</v>
      </c>
      <c r="F662">
        <v>5</v>
      </c>
      <c r="G662">
        <v>6495</v>
      </c>
      <c r="H662" t="s">
        <v>186</v>
      </c>
      <c r="I662" t="s">
        <v>67</v>
      </c>
      <c r="J662" t="s">
        <v>25</v>
      </c>
      <c r="K662" t="s">
        <v>45</v>
      </c>
      <c r="L662" t="str">
        <f t="shared" si="20"/>
        <v>Apr</v>
      </c>
      <c r="M662" t="str">
        <f t="shared" si="21"/>
        <v>Thursday</v>
      </c>
    </row>
    <row r="663" spans="1:13">
      <c r="A663" t="s">
        <v>902</v>
      </c>
      <c r="B663" t="s">
        <v>343</v>
      </c>
      <c r="C663" t="s">
        <v>28</v>
      </c>
      <c r="D663" t="s">
        <v>29</v>
      </c>
      <c r="E663">
        <v>1299</v>
      </c>
      <c r="F663">
        <v>3</v>
      </c>
      <c r="G663">
        <v>3897</v>
      </c>
      <c r="H663" t="s">
        <v>37</v>
      </c>
      <c r="I663" t="s">
        <v>24</v>
      </c>
      <c r="J663" t="s">
        <v>32</v>
      </c>
      <c r="K663" t="s">
        <v>45</v>
      </c>
      <c r="L663" t="str">
        <f t="shared" si="20"/>
        <v>May</v>
      </c>
      <c r="M663" t="str">
        <f t="shared" si="21"/>
        <v>Friday</v>
      </c>
    </row>
    <row r="664" spans="1:13">
      <c r="A664" t="s">
        <v>903</v>
      </c>
      <c r="B664" t="s">
        <v>303</v>
      </c>
      <c r="C664" t="s">
        <v>101</v>
      </c>
      <c r="D664" t="s">
        <v>81</v>
      </c>
      <c r="E664">
        <v>499</v>
      </c>
      <c r="F664">
        <v>4</v>
      </c>
      <c r="G664">
        <v>1996</v>
      </c>
      <c r="H664" t="s">
        <v>102</v>
      </c>
      <c r="I664" t="s">
        <v>16</v>
      </c>
      <c r="J664" t="s">
        <v>17</v>
      </c>
      <c r="K664" t="s">
        <v>45</v>
      </c>
      <c r="L664" t="str">
        <f t="shared" si="20"/>
        <v>Jun</v>
      </c>
      <c r="M664" t="str">
        <f t="shared" si="21"/>
        <v>Tuesday</v>
      </c>
    </row>
    <row r="665" spans="1:13">
      <c r="A665" t="s">
        <v>904</v>
      </c>
      <c r="B665" t="s">
        <v>134</v>
      </c>
      <c r="C665" t="s">
        <v>76</v>
      </c>
      <c r="D665" t="s">
        <v>49</v>
      </c>
      <c r="E665">
        <v>1599</v>
      </c>
      <c r="F665">
        <v>4</v>
      </c>
      <c r="G665">
        <v>6396</v>
      </c>
      <c r="H665" t="s">
        <v>102</v>
      </c>
      <c r="I665" t="s">
        <v>82</v>
      </c>
      <c r="J665" t="s">
        <v>25</v>
      </c>
      <c r="K665" t="s">
        <v>18</v>
      </c>
      <c r="L665" t="str">
        <f t="shared" si="20"/>
        <v>Jun</v>
      </c>
      <c r="M665" t="str">
        <f t="shared" si="21"/>
        <v>Tuesday</v>
      </c>
    </row>
    <row r="666" spans="1:13">
      <c r="A666" t="s">
        <v>905</v>
      </c>
      <c r="B666" t="s">
        <v>189</v>
      </c>
      <c r="C666" t="s">
        <v>21</v>
      </c>
      <c r="D666" t="s">
        <v>22</v>
      </c>
      <c r="E666">
        <v>1499</v>
      </c>
      <c r="F666">
        <v>4</v>
      </c>
      <c r="G666">
        <v>5996</v>
      </c>
      <c r="H666" t="s">
        <v>186</v>
      </c>
      <c r="I666" t="s">
        <v>44</v>
      </c>
      <c r="J666" t="s">
        <v>90</v>
      </c>
      <c r="K666" t="s">
        <v>18</v>
      </c>
      <c r="L666" t="str">
        <f t="shared" si="20"/>
        <v>Apr</v>
      </c>
      <c r="M666" t="str">
        <f t="shared" si="21"/>
        <v>Sunday</v>
      </c>
    </row>
    <row r="667" spans="1:13">
      <c r="A667" t="s">
        <v>906</v>
      </c>
      <c r="B667" t="s">
        <v>40</v>
      </c>
      <c r="C667" t="s">
        <v>101</v>
      </c>
      <c r="D667" t="s">
        <v>81</v>
      </c>
      <c r="E667">
        <v>499</v>
      </c>
      <c r="F667">
        <v>1</v>
      </c>
      <c r="G667">
        <v>499</v>
      </c>
      <c r="H667" t="s">
        <v>89</v>
      </c>
      <c r="I667" t="s">
        <v>57</v>
      </c>
      <c r="J667" t="s">
        <v>38</v>
      </c>
      <c r="K667" t="s">
        <v>18</v>
      </c>
      <c r="L667" t="str">
        <f t="shared" si="20"/>
        <v>Mar</v>
      </c>
      <c r="M667" t="str">
        <f t="shared" si="21"/>
        <v>Friday</v>
      </c>
    </row>
    <row r="668" spans="1:13">
      <c r="A668" t="s">
        <v>907</v>
      </c>
      <c r="B668" t="s">
        <v>510</v>
      </c>
      <c r="C668" t="s">
        <v>162</v>
      </c>
      <c r="D668" t="s">
        <v>29</v>
      </c>
      <c r="E668">
        <v>1799</v>
      </c>
      <c r="F668">
        <v>2</v>
      </c>
      <c r="G668">
        <v>3598</v>
      </c>
      <c r="H668" t="s">
        <v>157</v>
      </c>
      <c r="I668" t="s">
        <v>16</v>
      </c>
      <c r="J668" t="s">
        <v>38</v>
      </c>
      <c r="K668" t="s">
        <v>18</v>
      </c>
      <c r="L668" t="str">
        <f t="shared" si="20"/>
        <v>Jan</v>
      </c>
      <c r="M668" t="str">
        <f t="shared" si="21"/>
        <v>Monday</v>
      </c>
    </row>
    <row r="669" spans="1:13">
      <c r="A669" t="s">
        <v>908</v>
      </c>
      <c r="B669" t="s">
        <v>246</v>
      </c>
      <c r="C669" t="s">
        <v>135</v>
      </c>
      <c r="D669" t="s">
        <v>29</v>
      </c>
      <c r="E669">
        <v>3999</v>
      </c>
      <c r="F669">
        <v>4</v>
      </c>
      <c r="G669">
        <v>15996</v>
      </c>
      <c r="H669" t="s">
        <v>66</v>
      </c>
      <c r="I669" t="s">
        <v>44</v>
      </c>
      <c r="J669" t="s">
        <v>32</v>
      </c>
      <c r="K669" t="s">
        <v>18</v>
      </c>
      <c r="L669" t="str">
        <f t="shared" si="20"/>
        <v>Jan</v>
      </c>
      <c r="M669" t="str">
        <f t="shared" si="21"/>
        <v>Tuesday</v>
      </c>
    </row>
    <row r="670" spans="1:13">
      <c r="A670" t="s">
        <v>909</v>
      </c>
      <c r="B670" t="s">
        <v>265</v>
      </c>
      <c r="C670" t="s">
        <v>36</v>
      </c>
      <c r="D670" t="s">
        <v>29</v>
      </c>
      <c r="E670">
        <v>1999</v>
      </c>
      <c r="F670">
        <v>5</v>
      </c>
      <c r="G670">
        <v>9995</v>
      </c>
      <c r="H670" t="s">
        <v>95</v>
      </c>
      <c r="I670" t="s">
        <v>44</v>
      </c>
      <c r="J670" t="s">
        <v>38</v>
      </c>
      <c r="K670" t="s">
        <v>33</v>
      </c>
      <c r="L670" t="str">
        <f t="shared" si="20"/>
        <v>Apr</v>
      </c>
      <c r="M670" t="str">
        <f t="shared" si="21"/>
        <v>Sunday</v>
      </c>
    </row>
    <row r="671" spans="1:13">
      <c r="A671" t="s">
        <v>910</v>
      </c>
      <c r="B671" t="s">
        <v>748</v>
      </c>
      <c r="C671" t="s">
        <v>60</v>
      </c>
      <c r="D671" t="s">
        <v>61</v>
      </c>
      <c r="E671">
        <v>899</v>
      </c>
      <c r="F671">
        <v>1</v>
      </c>
      <c r="G671">
        <v>899</v>
      </c>
      <c r="H671" t="s">
        <v>15</v>
      </c>
      <c r="I671" t="s">
        <v>105</v>
      </c>
      <c r="J671" t="s">
        <v>25</v>
      </c>
      <c r="K671" t="s">
        <v>18</v>
      </c>
      <c r="L671" t="str">
        <f t="shared" si="20"/>
        <v>Mar</v>
      </c>
      <c r="M671" t="str">
        <f t="shared" si="21"/>
        <v>Tuesday</v>
      </c>
    </row>
    <row r="672" spans="1:13">
      <c r="A672" t="s">
        <v>911</v>
      </c>
      <c r="B672" t="s">
        <v>239</v>
      </c>
      <c r="C672" t="s">
        <v>122</v>
      </c>
      <c r="D672" t="s">
        <v>29</v>
      </c>
      <c r="E672">
        <v>1299</v>
      </c>
      <c r="F672">
        <v>2</v>
      </c>
      <c r="G672">
        <v>2598</v>
      </c>
      <c r="H672" t="s">
        <v>71</v>
      </c>
      <c r="I672" t="s">
        <v>98</v>
      </c>
      <c r="J672" t="s">
        <v>38</v>
      </c>
      <c r="K672" t="s">
        <v>18</v>
      </c>
      <c r="L672" t="str">
        <f t="shared" si="20"/>
        <v>May</v>
      </c>
      <c r="M672" t="str">
        <f t="shared" si="21"/>
        <v>Sunday</v>
      </c>
    </row>
    <row r="673" spans="1:13">
      <c r="A673" t="s">
        <v>912</v>
      </c>
      <c r="B673" t="s">
        <v>12</v>
      </c>
      <c r="C673" t="s">
        <v>13</v>
      </c>
      <c r="D673" t="s">
        <v>14</v>
      </c>
      <c r="E673">
        <v>2499</v>
      </c>
      <c r="F673">
        <v>1</v>
      </c>
      <c r="G673">
        <v>2499</v>
      </c>
      <c r="H673" t="s">
        <v>186</v>
      </c>
      <c r="I673" t="s">
        <v>67</v>
      </c>
      <c r="J673" t="s">
        <v>32</v>
      </c>
      <c r="K673" t="s">
        <v>18</v>
      </c>
      <c r="L673" t="str">
        <f t="shared" si="20"/>
        <v>Apr</v>
      </c>
      <c r="M673" t="str">
        <f t="shared" si="21"/>
        <v>Thursday</v>
      </c>
    </row>
    <row r="674" spans="1:13">
      <c r="A674" t="s">
        <v>913</v>
      </c>
      <c r="B674" t="s">
        <v>343</v>
      </c>
      <c r="C674" t="s">
        <v>87</v>
      </c>
      <c r="D674" t="s">
        <v>88</v>
      </c>
      <c r="E674">
        <v>5499</v>
      </c>
      <c r="F674">
        <v>2</v>
      </c>
      <c r="G674">
        <v>10998</v>
      </c>
      <c r="H674" t="s">
        <v>71</v>
      </c>
      <c r="I674" t="s">
        <v>31</v>
      </c>
      <c r="J674" t="s">
        <v>38</v>
      </c>
      <c r="K674" t="s">
        <v>18</v>
      </c>
      <c r="L674" t="str">
        <f t="shared" si="20"/>
        <v>May</v>
      </c>
      <c r="M674" t="str">
        <f t="shared" si="21"/>
        <v>Friday</v>
      </c>
    </row>
    <row r="675" spans="1:13">
      <c r="A675" t="s">
        <v>914</v>
      </c>
      <c r="B675" t="s">
        <v>65</v>
      </c>
      <c r="C675" t="s">
        <v>122</v>
      </c>
      <c r="D675" t="s">
        <v>29</v>
      </c>
      <c r="E675">
        <v>1299</v>
      </c>
      <c r="F675">
        <v>3</v>
      </c>
      <c r="G675">
        <v>3897</v>
      </c>
      <c r="H675" t="s">
        <v>102</v>
      </c>
      <c r="I675" t="s">
        <v>105</v>
      </c>
      <c r="J675" t="s">
        <v>32</v>
      </c>
      <c r="K675" t="s">
        <v>33</v>
      </c>
      <c r="L675" t="str">
        <f t="shared" si="20"/>
        <v>Jan</v>
      </c>
      <c r="M675" t="str">
        <f t="shared" si="21"/>
        <v>Thursday</v>
      </c>
    </row>
    <row r="676" spans="1:13">
      <c r="A676" t="s">
        <v>915</v>
      </c>
      <c r="B676" t="s">
        <v>269</v>
      </c>
      <c r="C676" t="s">
        <v>36</v>
      </c>
      <c r="D676" t="s">
        <v>29</v>
      </c>
      <c r="E676">
        <v>1999</v>
      </c>
      <c r="F676">
        <v>1</v>
      </c>
      <c r="G676">
        <v>1999</v>
      </c>
      <c r="H676" t="s">
        <v>43</v>
      </c>
      <c r="I676" t="s">
        <v>16</v>
      </c>
      <c r="J676" t="s">
        <v>17</v>
      </c>
      <c r="K676" t="s">
        <v>18</v>
      </c>
      <c r="L676" t="str">
        <f t="shared" si="20"/>
        <v>Jan</v>
      </c>
      <c r="M676" t="str">
        <f t="shared" si="21"/>
        <v>Saturday</v>
      </c>
    </row>
    <row r="677" spans="1:13">
      <c r="A677" t="s">
        <v>916</v>
      </c>
      <c r="B677" t="s">
        <v>274</v>
      </c>
      <c r="C677" t="s">
        <v>80</v>
      </c>
      <c r="D677" t="s">
        <v>81</v>
      </c>
      <c r="E677">
        <v>299</v>
      </c>
      <c r="F677">
        <v>5</v>
      </c>
      <c r="G677">
        <v>1495</v>
      </c>
      <c r="H677" t="s">
        <v>157</v>
      </c>
      <c r="I677" t="s">
        <v>125</v>
      </c>
      <c r="J677" t="s">
        <v>25</v>
      </c>
      <c r="K677" t="s">
        <v>18</v>
      </c>
      <c r="L677" t="str">
        <f t="shared" si="20"/>
        <v>Mar</v>
      </c>
      <c r="M677" t="str">
        <f t="shared" si="21"/>
        <v>Sunday</v>
      </c>
    </row>
    <row r="678" spans="1:13">
      <c r="A678" t="s">
        <v>917</v>
      </c>
      <c r="B678" t="s">
        <v>183</v>
      </c>
      <c r="C678" t="s">
        <v>135</v>
      </c>
      <c r="D678" t="s">
        <v>29</v>
      </c>
      <c r="E678">
        <v>3999</v>
      </c>
      <c r="F678">
        <v>4</v>
      </c>
      <c r="G678">
        <v>15996</v>
      </c>
      <c r="H678" t="s">
        <v>102</v>
      </c>
      <c r="I678" t="s">
        <v>63</v>
      </c>
      <c r="J678" t="s">
        <v>90</v>
      </c>
      <c r="K678" t="s">
        <v>18</v>
      </c>
      <c r="L678" t="str">
        <f t="shared" si="20"/>
        <v>Jan</v>
      </c>
      <c r="M678" t="str">
        <f t="shared" si="21"/>
        <v>Tuesday</v>
      </c>
    </row>
    <row r="679" spans="1:13">
      <c r="A679" t="s">
        <v>918</v>
      </c>
      <c r="B679" t="s">
        <v>408</v>
      </c>
      <c r="C679" t="s">
        <v>87</v>
      </c>
      <c r="D679" t="s">
        <v>88</v>
      </c>
      <c r="E679">
        <v>5499</v>
      </c>
      <c r="F679">
        <v>3</v>
      </c>
      <c r="G679">
        <v>16497</v>
      </c>
      <c r="H679" t="s">
        <v>37</v>
      </c>
      <c r="I679" t="s">
        <v>16</v>
      </c>
      <c r="J679" t="s">
        <v>90</v>
      </c>
      <c r="K679" t="s">
        <v>18</v>
      </c>
      <c r="L679" t="str">
        <f t="shared" si="20"/>
        <v>Mar</v>
      </c>
      <c r="M679" t="str">
        <f t="shared" si="21"/>
        <v>Monday</v>
      </c>
    </row>
    <row r="680" spans="1:13">
      <c r="A680" t="s">
        <v>919</v>
      </c>
      <c r="B680" t="s">
        <v>215</v>
      </c>
      <c r="C680" t="s">
        <v>76</v>
      </c>
      <c r="D680" t="s">
        <v>49</v>
      </c>
      <c r="E680">
        <v>1599</v>
      </c>
      <c r="F680">
        <v>2</v>
      </c>
      <c r="G680">
        <v>3198</v>
      </c>
      <c r="H680" t="s">
        <v>37</v>
      </c>
      <c r="I680" t="s">
        <v>125</v>
      </c>
      <c r="J680" t="s">
        <v>17</v>
      </c>
      <c r="K680" t="s">
        <v>18</v>
      </c>
      <c r="L680" t="str">
        <f t="shared" si="20"/>
        <v>Jan</v>
      </c>
      <c r="M680" t="str">
        <f t="shared" si="21"/>
        <v>Saturday</v>
      </c>
    </row>
    <row r="681" spans="1:13">
      <c r="A681" t="s">
        <v>920</v>
      </c>
      <c r="B681" t="s">
        <v>42</v>
      </c>
      <c r="C681" t="s">
        <v>70</v>
      </c>
      <c r="D681" t="s">
        <v>29</v>
      </c>
      <c r="E681">
        <v>799</v>
      </c>
      <c r="F681">
        <v>3</v>
      </c>
      <c r="G681">
        <v>2397</v>
      </c>
      <c r="H681" t="s">
        <v>56</v>
      </c>
      <c r="I681" t="s">
        <v>77</v>
      </c>
      <c r="J681" t="s">
        <v>25</v>
      </c>
      <c r="K681" t="s">
        <v>18</v>
      </c>
      <c r="L681" t="str">
        <f t="shared" si="20"/>
        <v>Mar</v>
      </c>
      <c r="M681" t="str">
        <f t="shared" si="21"/>
        <v>Wednesday</v>
      </c>
    </row>
    <row r="682" spans="1:13">
      <c r="A682" t="s">
        <v>921</v>
      </c>
      <c r="B682" t="s">
        <v>502</v>
      </c>
      <c r="C682" t="s">
        <v>60</v>
      </c>
      <c r="D682" t="s">
        <v>61</v>
      </c>
      <c r="E682">
        <v>899</v>
      </c>
      <c r="F682">
        <v>2</v>
      </c>
      <c r="G682">
        <v>1798</v>
      </c>
      <c r="H682" t="s">
        <v>89</v>
      </c>
      <c r="I682" t="s">
        <v>82</v>
      </c>
      <c r="J682" t="s">
        <v>25</v>
      </c>
      <c r="K682" t="s">
        <v>18</v>
      </c>
      <c r="L682" t="str">
        <f t="shared" si="20"/>
        <v>Feb</v>
      </c>
      <c r="M682" t="str">
        <f t="shared" si="21"/>
        <v>Sunday</v>
      </c>
    </row>
    <row r="683" spans="1:13">
      <c r="A683" t="s">
        <v>922</v>
      </c>
      <c r="B683" t="s">
        <v>215</v>
      </c>
      <c r="C683" t="s">
        <v>76</v>
      </c>
      <c r="D683" t="s">
        <v>49</v>
      </c>
      <c r="E683">
        <v>1599</v>
      </c>
      <c r="F683">
        <v>4</v>
      </c>
      <c r="G683">
        <v>6396</v>
      </c>
      <c r="H683" t="s">
        <v>71</v>
      </c>
      <c r="I683" t="s">
        <v>82</v>
      </c>
      <c r="J683" t="s">
        <v>32</v>
      </c>
      <c r="K683" t="s">
        <v>45</v>
      </c>
      <c r="L683" t="str">
        <f t="shared" si="20"/>
        <v>Jan</v>
      </c>
      <c r="M683" t="str">
        <f t="shared" si="21"/>
        <v>Saturday</v>
      </c>
    </row>
    <row r="684" spans="1:13">
      <c r="A684" t="s">
        <v>923</v>
      </c>
      <c r="B684" t="s">
        <v>429</v>
      </c>
      <c r="C684" t="s">
        <v>52</v>
      </c>
      <c r="D684" t="s">
        <v>53</v>
      </c>
      <c r="E684">
        <v>199</v>
      </c>
      <c r="F684">
        <v>5</v>
      </c>
      <c r="G684">
        <v>995</v>
      </c>
      <c r="H684" t="s">
        <v>66</v>
      </c>
      <c r="I684" t="s">
        <v>82</v>
      </c>
      <c r="J684" t="s">
        <v>17</v>
      </c>
      <c r="K684" t="s">
        <v>18</v>
      </c>
      <c r="L684" t="str">
        <f t="shared" si="20"/>
        <v>Apr</v>
      </c>
      <c r="M684" t="str">
        <f t="shared" si="21"/>
        <v>Wednesday</v>
      </c>
    </row>
    <row r="685" spans="1:13">
      <c r="A685" t="s">
        <v>924</v>
      </c>
      <c r="B685" t="s">
        <v>925</v>
      </c>
      <c r="C685" t="s">
        <v>52</v>
      </c>
      <c r="D685" t="s">
        <v>53</v>
      </c>
      <c r="E685">
        <v>199</v>
      </c>
      <c r="F685">
        <v>4</v>
      </c>
      <c r="G685">
        <v>796</v>
      </c>
      <c r="H685" t="s">
        <v>89</v>
      </c>
      <c r="I685" t="s">
        <v>31</v>
      </c>
      <c r="J685" t="s">
        <v>25</v>
      </c>
      <c r="K685" t="s">
        <v>33</v>
      </c>
      <c r="L685" t="str">
        <f t="shared" si="20"/>
        <v>Jun</v>
      </c>
      <c r="M685" t="str">
        <f t="shared" si="21"/>
        <v>Sunday</v>
      </c>
    </row>
    <row r="686" spans="1:13">
      <c r="A686" t="s">
        <v>926</v>
      </c>
      <c r="B686" t="s">
        <v>274</v>
      </c>
      <c r="C686" t="s">
        <v>87</v>
      </c>
      <c r="D686" t="s">
        <v>88</v>
      </c>
      <c r="E686">
        <v>5499</v>
      </c>
      <c r="F686">
        <v>5</v>
      </c>
      <c r="G686">
        <v>27495</v>
      </c>
      <c r="H686" t="s">
        <v>89</v>
      </c>
      <c r="I686" t="s">
        <v>57</v>
      </c>
      <c r="J686" t="s">
        <v>90</v>
      </c>
      <c r="K686" t="s">
        <v>45</v>
      </c>
      <c r="L686" t="str">
        <f t="shared" si="20"/>
        <v>Mar</v>
      </c>
      <c r="M686" t="str">
        <f t="shared" si="21"/>
        <v>Sunday</v>
      </c>
    </row>
    <row r="687" spans="1:13">
      <c r="A687" t="s">
        <v>927</v>
      </c>
      <c r="B687" t="s">
        <v>415</v>
      </c>
      <c r="C687" t="s">
        <v>80</v>
      </c>
      <c r="D687" t="s">
        <v>81</v>
      </c>
      <c r="E687">
        <v>299</v>
      </c>
      <c r="F687">
        <v>3</v>
      </c>
      <c r="G687">
        <v>897</v>
      </c>
      <c r="H687" t="s">
        <v>56</v>
      </c>
      <c r="I687" t="s">
        <v>98</v>
      </c>
      <c r="J687" t="s">
        <v>32</v>
      </c>
      <c r="K687" t="s">
        <v>18</v>
      </c>
      <c r="L687" t="str">
        <f t="shared" si="20"/>
        <v>May</v>
      </c>
      <c r="M687" t="str">
        <f t="shared" si="21"/>
        <v>Tuesday</v>
      </c>
    </row>
    <row r="688" spans="1:13">
      <c r="A688" t="s">
        <v>928</v>
      </c>
      <c r="B688" t="s">
        <v>633</v>
      </c>
      <c r="C688" t="s">
        <v>13</v>
      </c>
      <c r="D688" t="s">
        <v>14</v>
      </c>
      <c r="E688">
        <v>2499</v>
      </c>
      <c r="F688">
        <v>3</v>
      </c>
      <c r="G688">
        <v>7497</v>
      </c>
      <c r="H688" t="s">
        <v>71</v>
      </c>
      <c r="I688" t="s">
        <v>67</v>
      </c>
      <c r="J688" t="s">
        <v>90</v>
      </c>
      <c r="K688" t="s">
        <v>33</v>
      </c>
      <c r="L688" t="str">
        <f t="shared" si="20"/>
        <v>Jun</v>
      </c>
      <c r="M688" t="str">
        <f t="shared" si="21"/>
        <v>Saturday</v>
      </c>
    </row>
    <row r="689" spans="1:13">
      <c r="A689" t="s">
        <v>929</v>
      </c>
      <c r="B689" t="s">
        <v>260</v>
      </c>
      <c r="C689" t="s">
        <v>70</v>
      </c>
      <c r="D689" t="s">
        <v>29</v>
      </c>
      <c r="E689">
        <v>799</v>
      </c>
      <c r="F689">
        <v>1</v>
      </c>
      <c r="G689">
        <v>799</v>
      </c>
      <c r="H689" t="s">
        <v>186</v>
      </c>
      <c r="I689" t="s">
        <v>82</v>
      </c>
      <c r="J689" t="s">
        <v>90</v>
      </c>
      <c r="K689" t="s">
        <v>18</v>
      </c>
      <c r="L689" t="str">
        <f t="shared" si="20"/>
        <v>Jun</v>
      </c>
      <c r="M689" t="str">
        <f t="shared" si="21"/>
        <v>Wednesday</v>
      </c>
    </row>
    <row r="690" spans="1:13">
      <c r="A690" t="s">
        <v>930</v>
      </c>
      <c r="B690" t="s">
        <v>391</v>
      </c>
      <c r="C690" t="s">
        <v>70</v>
      </c>
      <c r="D690" t="s">
        <v>29</v>
      </c>
      <c r="E690">
        <v>799</v>
      </c>
      <c r="F690">
        <v>1</v>
      </c>
      <c r="G690">
        <v>799</v>
      </c>
      <c r="H690" t="s">
        <v>43</v>
      </c>
      <c r="I690" t="s">
        <v>24</v>
      </c>
      <c r="J690" t="s">
        <v>90</v>
      </c>
      <c r="K690" t="s">
        <v>18</v>
      </c>
      <c r="L690" t="str">
        <f t="shared" si="20"/>
        <v>May</v>
      </c>
      <c r="M690" t="str">
        <f t="shared" si="21"/>
        <v>Saturday</v>
      </c>
    </row>
    <row r="691" spans="1:13">
      <c r="A691" t="s">
        <v>931</v>
      </c>
      <c r="B691" t="s">
        <v>219</v>
      </c>
      <c r="C691" t="s">
        <v>52</v>
      </c>
      <c r="D691" t="s">
        <v>53</v>
      </c>
      <c r="E691">
        <v>199</v>
      </c>
      <c r="F691">
        <v>3</v>
      </c>
      <c r="G691">
        <v>597</v>
      </c>
      <c r="H691" t="s">
        <v>95</v>
      </c>
      <c r="I691" t="s">
        <v>98</v>
      </c>
      <c r="J691" t="s">
        <v>90</v>
      </c>
      <c r="K691" t="s">
        <v>18</v>
      </c>
      <c r="L691" t="str">
        <f t="shared" si="20"/>
        <v>Jan</v>
      </c>
      <c r="M691" t="str">
        <f t="shared" si="21"/>
        <v>Monday</v>
      </c>
    </row>
    <row r="692" spans="1:13">
      <c r="A692" t="s">
        <v>932</v>
      </c>
      <c r="B692" t="s">
        <v>933</v>
      </c>
      <c r="C692" t="s">
        <v>52</v>
      </c>
      <c r="D692" t="s">
        <v>53</v>
      </c>
      <c r="E692">
        <v>199</v>
      </c>
      <c r="F692">
        <v>1</v>
      </c>
      <c r="G692">
        <v>199</v>
      </c>
      <c r="H692" t="s">
        <v>95</v>
      </c>
      <c r="I692" t="s">
        <v>77</v>
      </c>
      <c r="J692" t="s">
        <v>38</v>
      </c>
      <c r="K692" t="s">
        <v>18</v>
      </c>
      <c r="L692" t="str">
        <f t="shared" si="20"/>
        <v>Feb</v>
      </c>
      <c r="M692" t="str">
        <f t="shared" si="21"/>
        <v>Sunday</v>
      </c>
    </row>
    <row r="693" spans="1:13">
      <c r="A693" t="s">
        <v>934</v>
      </c>
      <c r="B693" t="s">
        <v>568</v>
      </c>
      <c r="C693" t="s">
        <v>135</v>
      </c>
      <c r="D693" t="s">
        <v>29</v>
      </c>
      <c r="E693">
        <v>3999</v>
      </c>
      <c r="F693">
        <v>4</v>
      </c>
      <c r="G693">
        <v>15996</v>
      </c>
      <c r="H693" t="s">
        <v>66</v>
      </c>
      <c r="I693" t="s">
        <v>24</v>
      </c>
      <c r="J693" t="s">
        <v>25</v>
      </c>
      <c r="K693" t="s">
        <v>33</v>
      </c>
      <c r="L693" t="str">
        <f t="shared" si="20"/>
        <v>May</v>
      </c>
      <c r="M693" t="str">
        <f t="shared" si="21"/>
        <v>Sunday</v>
      </c>
    </row>
    <row r="694" spans="1:13">
      <c r="A694" t="s">
        <v>935</v>
      </c>
      <c r="B694" t="s">
        <v>73</v>
      </c>
      <c r="C694" t="s">
        <v>135</v>
      </c>
      <c r="D694" t="s">
        <v>29</v>
      </c>
      <c r="E694">
        <v>3999</v>
      </c>
      <c r="F694">
        <v>4</v>
      </c>
      <c r="G694">
        <v>15996</v>
      </c>
      <c r="H694" t="s">
        <v>30</v>
      </c>
      <c r="I694" t="s">
        <v>67</v>
      </c>
      <c r="J694" t="s">
        <v>25</v>
      </c>
      <c r="K694" t="s">
        <v>33</v>
      </c>
      <c r="L694" t="str">
        <f t="shared" si="20"/>
        <v>Feb</v>
      </c>
      <c r="M694" t="str">
        <f t="shared" si="21"/>
        <v>Thursday</v>
      </c>
    </row>
    <row r="695" spans="1:13">
      <c r="A695" t="s">
        <v>936</v>
      </c>
      <c r="B695" t="s">
        <v>241</v>
      </c>
      <c r="C695" t="s">
        <v>87</v>
      </c>
      <c r="D695" t="s">
        <v>88</v>
      </c>
      <c r="E695">
        <v>5499</v>
      </c>
      <c r="F695">
        <v>4</v>
      </c>
      <c r="G695">
        <v>21996</v>
      </c>
      <c r="H695" t="s">
        <v>89</v>
      </c>
      <c r="I695" t="s">
        <v>63</v>
      </c>
      <c r="J695" t="s">
        <v>90</v>
      </c>
      <c r="K695" t="s">
        <v>45</v>
      </c>
      <c r="L695" t="str">
        <f t="shared" si="20"/>
        <v>Jan</v>
      </c>
      <c r="M695" t="str">
        <f t="shared" si="21"/>
        <v>Tuesday</v>
      </c>
    </row>
    <row r="696" spans="1:13">
      <c r="A696" t="s">
        <v>937</v>
      </c>
      <c r="B696" t="s">
        <v>237</v>
      </c>
      <c r="C696" t="s">
        <v>70</v>
      </c>
      <c r="D696" t="s">
        <v>29</v>
      </c>
      <c r="E696">
        <v>799</v>
      </c>
      <c r="F696">
        <v>4</v>
      </c>
      <c r="G696">
        <v>3196</v>
      </c>
      <c r="H696" t="s">
        <v>157</v>
      </c>
      <c r="I696" t="s">
        <v>31</v>
      </c>
      <c r="J696" t="s">
        <v>25</v>
      </c>
      <c r="K696" t="s">
        <v>18</v>
      </c>
      <c r="L696" t="str">
        <f t="shared" si="20"/>
        <v>Jan</v>
      </c>
      <c r="M696" t="str">
        <f t="shared" si="21"/>
        <v>Thursday</v>
      </c>
    </row>
    <row r="697" spans="1:13">
      <c r="A697" t="s">
        <v>938</v>
      </c>
      <c r="B697" t="s">
        <v>104</v>
      </c>
      <c r="C697" t="s">
        <v>101</v>
      </c>
      <c r="D697" t="s">
        <v>81</v>
      </c>
      <c r="E697">
        <v>499</v>
      </c>
      <c r="F697">
        <v>1</v>
      </c>
      <c r="G697">
        <v>499</v>
      </c>
      <c r="H697" t="s">
        <v>95</v>
      </c>
      <c r="I697" t="s">
        <v>31</v>
      </c>
      <c r="J697" t="s">
        <v>17</v>
      </c>
      <c r="K697" t="s">
        <v>18</v>
      </c>
      <c r="L697" t="str">
        <f t="shared" si="20"/>
        <v>Jun</v>
      </c>
      <c r="M697" t="str">
        <f t="shared" si="21"/>
        <v>Monday</v>
      </c>
    </row>
    <row r="698" spans="1:13">
      <c r="A698" t="s">
        <v>939</v>
      </c>
      <c r="B698" t="s">
        <v>200</v>
      </c>
      <c r="C698" t="s">
        <v>87</v>
      </c>
      <c r="D698" t="s">
        <v>88</v>
      </c>
      <c r="E698">
        <v>5499</v>
      </c>
      <c r="F698">
        <v>4</v>
      </c>
      <c r="G698">
        <v>21996</v>
      </c>
      <c r="H698" t="s">
        <v>37</v>
      </c>
      <c r="I698" t="s">
        <v>67</v>
      </c>
      <c r="J698" t="s">
        <v>25</v>
      </c>
      <c r="K698" t="s">
        <v>18</v>
      </c>
      <c r="L698" t="str">
        <f t="shared" si="20"/>
        <v>Apr</v>
      </c>
      <c r="M698" t="str">
        <f t="shared" si="21"/>
        <v>Friday</v>
      </c>
    </row>
    <row r="699" spans="1:13">
      <c r="A699" t="s">
        <v>940</v>
      </c>
      <c r="B699" t="s">
        <v>221</v>
      </c>
      <c r="C699" t="s">
        <v>48</v>
      </c>
      <c r="D699" t="s">
        <v>49</v>
      </c>
      <c r="E699">
        <v>699</v>
      </c>
      <c r="F699">
        <v>5</v>
      </c>
      <c r="G699">
        <v>3495</v>
      </c>
      <c r="H699" t="s">
        <v>102</v>
      </c>
      <c r="I699" t="s">
        <v>44</v>
      </c>
      <c r="J699" t="s">
        <v>90</v>
      </c>
      <c r="K699" t="s">
        <v>33</v>
      </c>
      <c r="L699" t="str">
        <f t="shared" si="20"/>
        <v>Mar</v>
      </c>
      <c r="M699" t="str">
        <f t="shared" si="21"/>
        <v>Thursday</v>
      </c>
    </row>
    <row r="700" spans="1:13">
      <c r="A700" t="s">
        <v>941</v>
      </c>
      <c r="B700" t="s">
        <v>73</v>
      </c>
      <c r="C700" t="s">
        <v>70</v>
      </c>
      <c r="D700" t="s">
        <v>29</v>
      </c>
      <c r="E700">
        <v>799</v>
      </c>
      <c r="F700">
        <v>2</v>
      </c>
      <c r="G700">
        <v>1598</v>
      </c>
      <c r="H700" t="s">
        <v>23</v>
      </c>
      <c r="I700" t="s">
        <v>67</v>
      </c>
      <c r="J700" t="s">
        <v>32</v>
      </c>
      <c r="K700" t="s">
        <v>18</v>
      </c>
      <c r="L700" t="str">
        <f t="shared" si="20"/>
        <v>Feb</v>
      </c>
      <c r="M700" t="str">
        <f t="shared" si="21"/>
        <v>Thursday</v>
      </c>
    </row>
    <row r="701" spans="1:13">
      <c r="A701" t="s">
        <v>942</v>
      </c>
      <c r="B701" t="s">
        <v>395</v>
      </c>
      <c r="C701" t="s">
        <v>87</v>
      </c>
      <c r="D701" t="s">
        <v>88</v>
      </c>
      <c r="E701">
        <v>5499</v>
      </c>
      <c r="F701">
        <v>3</v>
      </c>
      <c r="G701">
        <v>16497</v>
      </c>
      <c r="H701" t="s">
        <v>119</v>
      </c>
      <c r="I701" t="s">
        <v>98</v>
      </c>
      <c r="J701" t="s">
        <v>17</v>
      </c>
      <c r="K701" t="s">
        <v>18</v>
      </c>
      <c r="L701" t="str">
        <f t="shared" si="20"/>
        <v>Apr</v>
      </c>
      <c r="M701" t="str">
        <f t="shared" si="21"/>
        <v>Sunday</v>
      </c>
    </row>
    <row r="702" spans="1:13">
      <c r="A702" t="s">
        <v>943</v>
      </c>
      <c r="B702" t="s">
        <v>598</v>
      </c>
      <c r="C702" t="s">
        <v>80</v>
      </c>
      <c r="D702" t="s">
        <v>81</v>
      </c>
      <c r="E702">
        <v>299</v>
      </c>
      <c r="F702">
        <v>5</v>
      </c>
      <c r="G702">
        <v>1495</v>
      </c>
      <c r="H702" t="s">
        <v>66</v>
      </c>
      <c r="I702" t="s">
        <v>82</v>
      </c>
      <c r="J702" t="s">
        <v>25</v>
      </c>
      <c r="K702" t="s">
        <v>18</v>
      </c>
      <c r="L702" t="str">
        <f t="shared" si="20"/>
        <v>Jun</v>
      </c>
      <c r="M702" t="str">
        <f t="shared" si="21"/>
        <v>Thursday</v>
      </c>
    </row>
    <row r="703" spans="1:13">
      <c r="A703" t="s">
        <v>944</v>
      </c>
      <c r="B703" t="s">
        <v>212</v>
      </c>
      <c r="C703" t="s">
        <v>122</v>
      </c>
      <c r="D703" t="s">
        <v>29</v>
      </c>
      <c r="E703">
        <v>1299</v>
      </c>
      <c r="F703">
        <v>2</v>
      </c>
      <c r="G703">
        <v>2598</v>
      </c>
      <c r="H703" t="s">
        <v>157</v>
      </c>
      <c r="I703" t="s">
        <v>67</v>
      </c>
      <c r="J703" t="s">
        <v>25</v>
      </c>
      <c r="K703" t="s">
        <v>45</v>
      </c>
      <c r="L703" t="str">
        <f t="shared" si="20"/>
        <v>Mar</v>
      </c>
      <c r="M703" t="str">
        <f t="shared" si="21"/>
        <v>Monday</v>
      </c>
    </row>
    <row r="704" spans="1:13">
      <c r="A704" t="s">
        <v>945</v>
      </c>
      <c r="B704" t="s">
        <v>487</v>
      </c>
      <c r="C704" t="s">
        <v>80</v>
      </c>
      <c r="D704" t="s">
        <v>81</v>
      </c>
      <c r="E704">
        <v>299</v>
      </c>
      <c r="F704">
        <v>5</v>
      </c>
      <c r="G704">
        <v>1495</v>
      </c>
      <c r="H704" t="s">
        <v>157</v>
      </c>
      <c r="I704" t="s">
        <v>82</v>
      </c>
      <c r="J704" t="s">
        <v>17</v>
      </c>
      <c r="K704" t="s">
        <v>18</v>
      </c>
      <c r="L704" t="str">
        <f t="shared" si="20"/>
        <v>Apr</v>
      </c>
      <c r="M704" t="str">
        <f t="shared" si="21"/>
        <v>Monday</v>
      </c>
    </row>
    <row r="705" spans="1:13">
      <c r="A705" t="s">
        <v>946</v>
      </c>
      <c r="B705" t="s">
        <v>171</v>
      </c>
      <c r="C705" t="s">
        <v>28</v>
      </c>
      <c r="D705" t="s">
        <v>29</v>
      </c>
      <c r="E705">
        <v>1299</v>
      </c>
      <c r="F705">
        <v>2</v>
      </c>
      <c r="G705">
        <v>2598</v>
      </c>
      <c r="H705" t="s">
        <v>95</v>
      </c>
      <c r="I705" t="s">
        <v>63</v>
      </c>
      <c r="J705" t="s">
        <v>90</v>
      </c>
      <c r="K705" t="s">
        <v>18</v>
      </c>
      <c r="L705" t="str">
        <f t="shared" si="20"/>
        <v>Jun</v>
      </c>
      <c r="M705" t="str">
        <f t="shared" si="21"/>
        <v>Monday</v>
      </c>
    </row>
    <row r="706" spans="1:13">
      <c r="A706" t="s">
        <v>947</v>
      </c>
      <c r="B706" t="s">
        <v>613</v>
      </c>
      <c r="C706" t="s">
        <v>101</v>
      </c>
      <c r="D706" t="s">
        <v>81</v>
      </c>
      <c r="E706">
        <v>499</v>
      </c>
      <c r="F706">
        <v>5</v>
      </c>
      <c r="G706">
        <v>2495</v>
      </c>
      <c r="H706" t="s">
        <v>71</v>
      </c>
      <c r="I706" t="s">
        <v>24</v>
      </c>
      <c r="J706" t="s">
        <v>38</v>
      </c>
      <c r="K706" t="s">
        <v>18</v>
      </c>
      <c r="L706" t="str">
        <f t="shared" si="20"/>
        <v>Feb</v>
      </c>
      <c r="M706" t="str">
        <f t="shared" si="21"/>
        <v>Tuesday</v>
      </c>
    </row>
    <row r="707" spans="1:13">
      <c r="A707" t="s">
        <v>948</v>
      </c>
      <c r="B707" t="s">
        <v>221</v>
      </c>
      <c r="C707" t="s">
        <v>101</v>
      </c>
      <c r="D707" t="s">
        <v>81</v>
      </c>
      <c r="E707">
        <v>499</v>
      </c>
      <c r="F707">
        <v>2</v>
      </c>
      <c r="G707">
        <v>998</v>
      </c>
      <c r="H707" t="s">
        <v>43</v>
      </c>
      <c r="I707" t="s">
        <v>67</v>
      </c>
      <c r="J707" t="s">
        <v>90</v>
      </c>
      <c r="K707" t="s">
        <v>18</v>
      </c>
      <c r="L707" t="str">
        <f t="shared" ref="L707:L770" si="22">TEXT(B707,"MMM")</f>
        <v>Mar</v>
      </c>
      <c r="M707" t="str">
        <f t="shared" ref="M707:M770" si="23">TEXT(B707,"dddd")</f>
        <v>Thursday</v>
      </c>
    </row>
    <row r="708" spans="1:13">
      <c r="A708" t="s">
        <v>949</v>
      </c>
      <c r="B708" t="s">
        <v>234</v>
      </c>
      <c r="C708" t="s">
        <v>135</v>
      </c>
      <c r="D708" t="s">
        <v>29</v>
      </c>
      <c r="E708">
        <v>3999</v>
      </c>
      <c r="F708">
        <v>1</v>
      </c>
      <c r="G708">
        <v>3999</v>
      </c>
      <c r="H708" t="s">
        <v>30</v>
      </c>
      <c r="I708" t="s">
        <v>125</v>
      </c>
      <c r="J708" t="s">
        <v>17</v>
      </c>
      <c r="K708" t="s">
        <v>18</v>
      </c>
      <c r="L708" t="str">
        <f t="shared" si="22"/>
        <v>Mar</v>
      </c>
      <c r="M708" t="str">
        <f t="shared" si="23"/>
        <v>Monday</v>
      </c>
    </row>
    <row r="709" spans="1:13">
      <c r="A709" t="s">
        <v>950</v>
      </c>
      <c r="B709" t="s">
        <v>402</v>
      </c>
      <c r="C709" t="s">
        <v>13</v>
      </c>
      <c r="D709" t="s">
        <v>14</v>
      </c>
      <c r="E709">
        <v>2499</v>
      </c>
      <c r="F709">
        <v>4</v>
      </c>
      <c r="G709">
        <v>9996</v>
      </c>
      <c r="H709" t="s">
        <v>102</v>
      </c>
      <c r="I709" t="s">
        <v>24</v>
      </c>
      <c r="J709" t="s">
        <v>32</v>
      </c>
      <c r="K709" t="s">
        <v>33</v>
      </c>
      <c r="L709" t="str">
        <f t="shared" si="22"/>
        <v>Jun</v>
      </c>
      <c r="M709" t="str">
        <f t="shared" si="23"/>
        <v>Friday</v>
      </c>
    </row>
    <row r="710" spans="1:13">
      <c r="A710" t="s">
        <v>951</v>
      </c>
      <c r="B710" t="s">
        <v>20</v>
      </c>
      <c r="C710" t="s">
        <v>36</v>
      </c>
      <c r="D710" t="s">
        <v>29</v>
      </c>
      <c r="E710">
        <v>1999</v>
      </c>
      <c r="F710">
        <v>5</v>
      </c>
      <c r="G710">
        <v>9995</v>
      </c>
      <c r="H710" t="s">
        <v>157</v>
      </c>
      <c r="I710" t="s">
        <v>125</v>
      </c>
      <c r="J710" t="s">
        <v>38</v>
      </c>
      <c r="K710" t="s">
        <v>33</v>
      </c>
      <c r="L710" t="str">
        <f t="shared" si="22"/>
        <v>Jun</v>
      </c>
      <c r="M710" t="str">
        <f t="shared" si="23"/>
        <v>Friday</v>
      </c>
    </row>
    <row r="711" spans="1:13">
      <c r="A711" t="s">
        <v>952</v>
      </c>
      <c r="B711" t="s">
        <v>239</v>
      </c>
      <c r="C711" t="s">
        <v>21</v>
      </c>
      <c r="D711" t="s">
        <v>22</v>
      </c>
      <c r="E711">
        <v>1499</v>
      </c>
      <c r="F711">
        <v>2</v>
      </c>
      <c r="G711">
        <v>2998</v>
      </c>
      <c r="H711" t="s">
        <v>30</v>
      </c>
      <c r="I711" t="s">
        <v>63</v>
      </c>
      <c r="J711" t="s">
        <v>25</v>
      </c>
      <c r="K711" t="s">
        <v>18</v>
      </c>
      <c r="L711" t="str">
        <f t="shared" si="22"/>
        <v>May</v>
      </c>
      <c r="M711" t="str">
        <f t="shared" si="23"/>
        <v>Sunday</v>
      </c>
    </row>
    <row r="712" spans="1:13">
      <c r="A712" t="s">
        <v>953</v>
      </c>
      <c r="B712" t="s">
        <v>237</v>
      </c>
      <c r="C712" t="s">
        <v>135</v>
      </c>
      <c r="D712" t="s">
        <v>29</v>
      </c>
      <c r="E712">
        <v>3999</v>
      </c>
      <c r="F712">
        <v>4</v>
      </c>
      <c r="G712">
        <v>15996</v>
      </c>
      <c r="H712" t="s">
        <v>102</v>
      </c>
      <c r="I712" t="s">
        <v>67</v>
      </c>
      <c r="J712" t="s">
        <v>25</v>
      </c>
      <c r="K712" t="s">
        <v>18</v>
      </c>
      <c r="L712" t="str">
        <f t="shared" si="22"/>
        <v>Jan</v>
      </c>
      <c r="M712" t="str">
        <f t="shared" si="23"/>
        <v>Thursday</v>
      </c>
    </row>
    <row r="713" spans="1:13">
      <c r="A713" t="s">
        <v>954</v>
      </c>
      <c r="B713" t="s">
        <v>459</v>
      </c>
      <c r="C713" t="s">
        <v>13</v>
      </c>
      <c r="D713" t="s">
        <v>14</v>
      </c>
      <c r="E713">
        <v>2499</v>
      </c>
      <c r="F713">
        <v>4</v>
      </c>
      <c r="G713">
        <v>9996</v>
      </c>
      <c r="H713" t="s">
        <v>43</v>
      </c>
      <c r="I713" t="s">
        <v>98</v>
      </c>
      <c r="J713" t="s">
        <v>90</v>
      </c>
      <c r="K713" t="s">
        <v>18</v>
      </c>
      <c r="L713" t="str">
        <f t="shared" si="22"/>
        <v>Apr</v>
      </c>
      <c r="M713" t="str">
        <f t="shared" si="23"/>
        <v>Tuesday</v>
      </c>
    </row>
    <row r="714" spans="1:13">
      <c r="A714" t="s">
        <v>955</v>
      </c>
      <c r="B714" t="s">
        <v>137</v>
      </c>
      <c r="C714" t="s">
        <v>162</v>
      </c>
      <c r="D714" t="s">
        <v>29</v>
      </c>
      <c r="E714">
        <v>1799</v>
      </c>
      <c r="F714">
        <v>1</v>
      </c>
      <c r="G714">
        <v>1799</v>
      </c>
      <c r="H714" t="s">
        <v>89</v>
      </c>
      <c r="I714" t="s">
        <v>57</v>
      </c>
      <c r="J714" t="s">
        <v>17</v>
      </c>
      <c r="K714" t="s">
        <v>45</v>
      </c>
      <c r="L714" t="str">
        <f t="shared" si="22"/>
        <v>Mar</v>
      </c>
      <c r="M714" t="str">
        <f t="shared" si="23"/>
        <v>Monday</v>
      </c>
    </row>
    <row r="715" spans="1:13">
      <c r="A715" t="s">
        <v>956</v>
      </c>
      <c r="B715" t="s">
        <v>35</v>
      </c>
      <c r="C715" t="s">
        <v>135</v>
      </c>
      <c r="D715" t="s">
        <v>29</v>
      </c>
      <c r="E715">
        <v>3999</v>
      </c>
      <c r="F715">
        <v>5</v>
      </c>
      <c r="G715">
        <v>19995</v>
      </c>
      <c r="H715" t="s">
        <v>56</v>
      </c>
      <c r="I715" t="s">
        <v>77</v>
      </c>
      <c r="J715" t="s">
        <v>38</v>
      </c>
      <c r="K715" t="s">
        <v>45</v>
      </c>
      <c r="L715" t="str">
        <f t="shared" si="22"/>
        <v>Apr</v>
      </c>
      <c r="M715" t="str">
        <f t="shared" si="23"/>
        <v>Saturday</v>
      </c>
    </row>
    <row r="716" spans="1:13">
      <c r="A716" t="s">
        <v>957</v>
      </c>
      <c r="B716" t="s">
        <v>207</v>
      </c>
      <c r="C716" t="s">
        <v>76</v>
      </c>
      <c r="D716" t="s">
        <v>49</v>
      </c>
      <c r="E716">
        <v>1599</v>
      </c>
      <c r="F716">
        <v>1</v>
      </c>
      <c r="G716">
        <v>1599</v>
      </c>
      <c r="H716" t="s">
        <v>23</v>
      </c>
      <c r="I716" t="s">
        <v>77</v>
      </c>
      <c r="J716" t="s">
        <v>17</v>
      </c>
      <c r="K716" t="s">
        <v>18</v>
      </c>
      <c r="L716" t="str">
        <f t="shared" si="22"/>
        <v>Feb</v>
      </c>
      <c r="M716" t="str">
        <f t="shared" si="23"/>
        <v>Monday</v>
      </c>
    </row>
    <row r="717" spans="1:13">
      <c r="A717" t="s">
        <v>958</v>
      </c>
      <c r="B717" t="s">
        <v>164</v>
      </c>
      <c r="C717" t="s">
        <v>70</v>
      </c>
      <c r="D717" t="s">
        <v>29</v>
      </c>
      <c r="E717">
        <v>799</v>
      </c>
      <c r="F717">
        <v>2</v>
      </c>
      <c r="G717">
        <v>1598</v>
      </c>
      <c r="H717" t="s">
        <v>62</v>
      </c>
      <c r="I717" t="s">
        <v>98</v>
      </c>
      <c r="J717" t="s">
        <v>38</v>
      </c>
      <c r="K717" t="s">
        <v>18</v>
      </c>
      <c r="L717" t="str">
        <f t="shared" si="22"/>
        <v>Feb</v>
      </c>
      <c r="M717" t="str">
        <f t="shared" si="23"/>
        <v>Wednesday</v>
      </c>
    </row>
    <row r="718" spans="1:13">
      <c r="A718" t="s">
        <v>959</v>
      </c>
      <c r="B718" t="s">
        <v>379</v>
      </c>
      <c r="C718" t="s">
        <v>13</v>
      </c>
      <c r="D718" t="s">
        <v>14</v>
      </c>
      <c r="E718">
        <v>2499</v>
      </c>
      <c r="F718">
        <v>2</v>
      </c>
      <c r="G718">
        <v>4998</v>
      </c>
      <c r="H718" t="s">
        <v>157</v>
      </c>
      <c r="I718" t="s">
        <v>77</v>
      </c>
      <c r="J718" t="s">
        <v>17</v>
      </c>
      <c r="K718" t="s">
        <v>18</v>
      </c>
      <c r="L718" t="str">
        <f t="shared" si="22"/>
        <v>Jun</v>
      </c>
      <c r="M718" t="str">
        <f t="shared" si="23"/>
        <v>Friday</v>
      </c>
    </row>
    <row r="719" spans="1:13">
      <c r="A719" t="s">
        <v>960</v>
      </c>
      <c r="B719" t="s">
        <v>20</v>
      </c>
      <c r="C719" t="s">
        <v>52</v>
      </c>
      <c r="D719" t="s">
        <v>53</v>
      </c>
      <c r="E719">
        <v>199</v>
      </c>
      <c r="F719">
        <v>5</v>
      </c>
      <c r="G719">
        <v>995</v>
      </c>
      <c r="H719" t="s">
        <v>71</v>
      </c>
      <c r="I719" t="s">
        <v>16</v>
      </c>
      <c r="J719" t="s">
        <v>38</v>
      </c>
      <c r="K719" t="s">
        <v>18</v>
      </c>
      <c r="L719" t="str">
        <f t="shared" si="22"/>
        <v>Jun</v>
      </c>
      <c r="M719" t="str">
        <f t="shared" si="23"/>
        <v>Friday</v>
      </c>
    </row>
    <row r="720" spans="1:13">
      <c r="A720" t="s">
        <v>961</v>
      </c>
      <c r="B720" t="s">
        <v>59</v>
      </c>
      <c r="C720" t="s">
        <v>21</v>
      </c>
      <c r="D720" t="s">
        <v>22</v>
      </c>
      <c r="E720">
        <v>1499</v>
      </c>
      <c r="F720">
        <v>1</v>
      </c>
      <c r="G720">
        <v>1499</v>
      </c>
      <c r="H720" t="s">
        <v>30</v>
      </c>
      <c r="I720" t="s">
        <v>125</v>
      </c>
      <c r="J720" t="s">
        <v>90</v>
      </c>
      <c r="K720" t="s">
        <v>18</v>
      </c>
      <c r="L720" t="str">
        <f t="shared" si="22"/>
        <v>Apr</v>
      </c>
      <c r="M720" t="str">
        <f t="shared" si="23"/>
        <v>Monday</v>
      </c>
    </row>
    <row r="721" spans="1:13">
      <c r="A721" t="s">
        <v>962</v>
      </c>
      <c r="B721" t="s">
        <v>431</v>
      </c>
      <c r="C721" t="s">
        <v>60</v>
      </c>
      <c r="D721" t="s">
        <v>61</v>
      </c>
      <c r="E721">
        <v>899</v>
      </c>
      <c r="F721">
        <v>4</v>
      </c>
      <c r="G721">
        <v>3596</v>
      </c>
      <c r="H721" t="s">
        <v>43</v>
      </c>
      <c r="I721" t="s">
        <v>31</v>
      </c>
      <c r="J721" t="s">
        <v>25</v>
      </c>
      <c r="K721" t="s">
        <v>33</v>
      </c>
      <c r="L721" t="str">
        <f t="shared" si="22"/>
        <v>Feb</v>
      </c>
      <c r="M721" t="str">
        <f t="shared" si="23"/>
        <v>Thursday</v>
      </c>
    </row>
    <row r="722" spans="1:13">
      <c r="A722" t="s">
        <v>963</v>
      </c>
      <c r="B722" t="s">
        <v>373</v>
      </c>
      <c r="C722" t="s">
        <v>21</v>
      </c>
      <c r="D722" t="s">
        <v>22</v>
      </c>
      <c r="E722">
        <v>1499</v>
      </c>
      <c r="F722">
        <v>1</v>
      </c>
      <c r="G722">
        <v>1499</v>
      </c>
      <c r="H722" t="s">
        <v>95</v>
      </c>
      <c r="I722" t="s">
        <v>44</v>
      </c>
      <c r="J722" t="s">
        <v>17</v>
      </c>
      <c r="K722" t="s">
        <v>18</v>
      </c>
      <c r="L722" t="str">
        <f t="shared" si="22"/>
        <v>Mar</v>
      </c>
      <c r="M722" t="str">
        <f t="shared" si="23"/>
        <v>Wednesday</v>
      </c>
    </row>
    <row r="723" spans="1:13">
      <c r="A723" t="s">
        <v>964</v>
      </c>
      <c r="B723" t="s">
        <v>92</v>
      </c>
      <c r="C723" t="s">
        <v>80</v>
      </c>
      <c r="D723" t="s">
        <v>81</v>
      </c>
      <c r="E723">
        <v>299</v>
      </c>
      <c r="F723">
        <v>5</v>
      </c>
      <c r="G723">
        <v>1495</v>
      </c>
      <c r="H723" t="s">
        <v>157</v>
      </c>
      <c r="I723" t="s">
        <v>63</v>
      </c>
      <c r="J723" t="s">
        <v>90</v>
      </c>
      <c r="K723" t="s">
        <v>18</v>
      </c>
      <c r="L723" t="str">
        <f t="shared" si="22"/>
        <v>Feb</v>
      </c>
      <c r="M723" t="str">
        <f t="shared" si="23"/>
        <v>Saturday</v>
      </c>
    </row>
    <row r="724" spans="1:13">
      <c r="A724" t="s">
        <v>965</v>
      </c>
      <c r="B724" t="s">
        <v>402</v>
      </c>
      <c r="C724" t="s">
        <v>48</v>
      </c>
      <c r="D724" t="s">
        <v>49</v>
      </c>
      <c r="E724">
        <v>699</v>
      </c>
      <c r="F724">
        <v>4</v>
      </c>
      <c r="G724">
        <v>2796</v>
      </c>
      <c r="H724" t="s">
        <v>62</v>
      </c>
      <c r="I724" t="s">
        <v>44</v>
      </c>
      <c r="J724" t="s">
        <v>25</v>
      </c>
      <c r="K724" t="s">
        <v>33</v>
      </c>
      <c r="L724" t="str">
        <f t="shared" si="22"/>
        <v>Jun</v>
      </c>
      <c r="M724" t="str">
        <f t="shared" si="23"/>
        <v>Friday</v>
      </c>
    </row>
    <row r="725" spans="1:13">
      <c r="A725" t="s">
        <v>966</v>
      </c>
      <c r="B725" t="s">
        <v>150</v>
      </c>
      <c r="C725" t="s">
        <v>87</v>
      </c>
      <c r="D725" t="s">
        <v>88</v>
      </c>
      <c r="E725">
        <v>5499</v>
      </c>
      <c r="F725">
        <v>5</v>
      </c>
      <c r="G725">
        <v>27495</v>
      </c>
      <c r="H725" t="s">
        <v>89</v>
      </c>
      <c r="I725" t="s">
        <v>67</v>
      </c>
      <c r="J725" t="s">
        <v>17</v>
      </c>
      <c r="K725" t="s">
        <v>45</v>
      </c>
      <c r="L725" t="str">
        <f t="shared" si="22"/>
        <v>Feb</v>
      </c>
      <c r="M725" t="str">
        <f t="shared" si="23"/>
        <v>Sunday</v>
      </c>
    </row>
    <row r="726" spans="1:13">
      <c r="A726" t="s">
        <v>967</v>
      </c>
      <c r="B726" t="s">
        <v>69</v>
      </c>
      <c r="C726" t="s">
        <v>36</v>
      </c>
      <c r="D726" t="s">
        <v>29</v>
      </c>
      <c r="E726">
        <v>1999</v>
      </c>
      <c r="F726">
        <v>3</v>
      </c>
      <c r="G726">
        <v>5997</v>
      </c>
      <c r="H726" t="s">
        <v>37</v>
      </c>
      <c r="I726" t="s">
        <v>67</v>
      </c>
      <c r="J726" t="s">
        <v>25</v>
      </c>
      <c r="K726" t="s">
        <v>18</v>
      </c>
      <c r="L726" t="str">
        <f t="shared" si="22"/>
        <v>Apr</v>
      </c>
      <c r="M726" t="str">
        <f t="shared" si="23"/>
        <v>Wednesday</v>
      </c>
    </row>
    <row r="727" spans="1:13">
      <c r="A727" t="s">
        <v>968</v>
      </c>
      <c r="B727" t="s">
        <v>293</v>
      </c>
      <c r="C727" t="s">
        <v>122</v>
      </c>
      <c r="D727" t="s">
        <v>29</v>
      </c>
      <c r="E727">
        <v>1299</v>
      </c>
      <c r="F727">
        <v>2</v>
      </c>
      <c r="G727">
        <v>2598</v>
      </c>
      <c r="H727" t="s">
        <v>89</v>
      </c>
      <c r="I727" t="s">
        <v>44</v>
      </c>
      <c r="J727" t="s">
        <v>32</v>
      </c>
      <c r="K727" t="s">
        <v>18</v>
      </c>
      <c r="L727" t="str">
        <f t="shared" si="22"/>
        <v>Apr</v>
      </c>
      <c r="M727" t="str">
        <f t="shared" si="23"/>
        <v>Monday</v>
      </c>
    </row>
    <row r="728" spans="1:13">
      <c r="A728" t="s">
        <v>969</v>
      </c>
      <c r="B728" t="s">
        <v>387</v>
      </c>
      <c r="C728" t="s">
        <v>87</v>
      </c>
      <c r="D728" t="s">
        <v>88</v>
      </c>
      <c r="E728">
        <v>5499</v>
      </c>
      <c r="F728">
        <v>3</v>
      </c>
      <c r="G728">
        <v>16497</v>
      </c>
      <c r="H728" t="s">
        <v>23</v>
      </c>
      <c r="I728" t="s">
        <v>44</v>
      </c>
      <c r="J728" t="s">
        <v>90</v>
      </c>
      <c r="K728" t="s">
        <v>18</v>
      </c>
      <c r="L728" t="str">
        <f t="shared" si="22"/>
        <v>Jun</v>
      </c>
      <c r="M728" t="str">
        <f t="shared" si="23"/>
        <v>Sunday</v>
      </c>
    </row>
    <row r="729" spans="1:13">
      <c r="A729" t="s">
        <v>970</v>
      </c>
      <c r="B729" t="s">
        <v>224</v>
      </c>
      <c r="C729" t="s">
        <v>135</v>
      </c>
      <c r="D729" t="s">
        <v>29</v>
      </c>
      <c r="E729">
        <v>3999</v>
      </c>
      <c r="F729">
        <v>5</v>
      </c>
      <c r="G729">
        <v>19995</v>
      </c>
      <c r="H729" t="s">
        <v>30</v>
      </c>
      <c r="I729" t="s">
        <v>125</v>
      </c>
      <c r="J729" t="s">
        <v>25</v>
      </c>
      <c r="K729" t="s">
        <v>18</v>
      </c>
      <c r="L729" t="str">
        <f t="shared" si="22"/>
        <v>Feb</v>
      </c>
      <c r="M729" t="str">
        <f t="shared" si="23"/>
        <v>Tuesday</v>
      </c>
    </row>
    <row r="730" spans="1:13">
      <c r="A730" t="s">
        <v>971</v>
      </c>
      <c r="B730" t="s">
        <v>354</v>
      </c>
      <c r="C730" t="s">
        <v>48</v>
      </c>
      <c r="D730" t="s">
        <v>49</v>
      </c>
      <c r="E730">
        <v>699</v>
      </c>
      <c r="F730">
        <v>1</v>
      </c>
      <c r="G730">
        <v>699</v>
      </c>
      <c r="H730" t="s">
        <v>95</v>
      </c>
      <c r="I730" t="s">
        <v>24</v>
      </c>
      <c r="J730" t="s">
        <v>90</v>
      </c>
      <c r="K730" t="s">
        <v>18</v>
      </c>
      <c r="L730" t="str">
        <f t="shared" si="22"/>
        <v>May</v>
      </c>
      <c r="M730" t="str">
        <f t="shared" si="23"/>
        <v>Monday</v>
      </c>
    </row>
    <row r="731" spans="1:13">
      <c r="A731" t="s">
        <v>972</v>
      </c>
      <c r="B731" t="s">
        <v>321</v>
      </c>
      <c r="C731" t="s">
        <v>28</v>
      </c>
      <c r="D731" t="s">
        <v>29</v>
      </c>
      <c r="E731">
        <v>1299</v>
      </c>
      <c r="F731">
        <v>1</v>
      </c>
      <c r="G731">
        <v>1299</v>
      </c>
      <c r="H731" t="s">
        <v>30</v>
      </c>
      <c r="I731" t="s">
        <v>77</v>
      </c>
      <c r="J731" t="s">
        <v>17</v>
      </c>
      <c r="K731" t="s">
        <v>18</v>
      </c>
      <c r="L731" t="str">
        <f t="shared" si="22"/>
        <v>May</v>
      </c>
      <c r="M731" t="str">
        <f t="shared" si="23"/>
        <v>Saturday</v>
      </c>
    </row>
    <row r="732" spans="1:13">
      <c r="A732" t="s">
        <v>973</v>
      </c>
      <c r="B732" t="s">
        <v>215</v>
      </c>
      <c r="C732" t="s">
        <v>60</v>
      </c>
      <c r="D732" t="s">
        <v>61</v>
      </c>
      <c r="E732">
        <v>899</v>
      </c>
      <c r="F732">
        <v>3</v>
      </c>
      <c r="G732">
        <v>2697</v>
      </c>
      <c r="H732" t="s">
        <v>157</v>
      </c>
      <c r="I732" t="s">
        <v>31</v>
      </c>
      <c r="J732" t="s">
        <v>38</v>
      </c>
      <c r="K732" t="s">
        <v>45</v>
      </c>
      <c r="L732" t="str">
        <f t="shared" si="22"/>
        <v>Jan</v>
      </c>
      <c r="M732" t="str">
        <f t="shared" si="23"/>
        <v>Saturday</v>
      </c>
    </row>
    <row r="733" spans="1:13">
      <c r="A733" t="s">
        <v>974</v>
      </c>
      <c r="B733" t="s">
        <v>561</v>
      </c>
      <c r="C733" t="s">
        <v>21</v>
      </c>
      <c r="D733" t="s">
        <v>22</v>
      </c>
      <c r="E733">
        <v>1499</v>
      </c>
      <c r="F733">
        <v>3</v>
      </c>
      <c r="G733">
        <v>4497</v>
      </c>
      <c r="H733" t="s">
        <v>37</v>
      </c>
      <c r="I733" t="s">
        <v>77</v>
      </c>
      <c r="J733" t="s">
        <v>32</v>
      </c>
      <c r="K733" t="s">
        <v>33</v>
      </c>
      <c r="L733" t="str">
        <f t="shared" si="22"/>
        <v>Jun</v>
      </c>
      <c r="M733" t="str">
        <f t="shared" si="23"/>
        <v>Monday</v>
      </c>
    </row>
    <row r="734" spans="1:13">
      <c r="A734" t="s">
        <v>975</v>
      </c>
      <c r="B734" t="s">
        <v>196</v>
      </c>
      <c r="C734" t="s">
        <v>70</v>
      </c>
      <c r="D734" t="s">
        <v>29</v>
      </c>
      <c r="E734">
        <v>799</v>
      </c>
      <c r="F734">
        <v>5</v>
      </c>
      <c r="G734">
        <v>3995</v>
      </c>
      <c r="H734" t="s">
        <v>43</v>
      </c>
      <c r="I734" t="s">
        <v>44</v>
      </c>
      <c r="J734" t="s">
        <v>17</v>
      </c>
      <c r="K734" t="s">
        <v>18</v>
      </c>
      <c r="L734" t="str">
        <f t="shared" si="22"/>
        <v>May</v>
      </c>
      <c r="M734" t="str">
        <f t="shared" si="23"/>
        <v>Friday</v>
      </c>
    </row>
    <row r="735" spans="1:13">
      <c r="A735" t="s">
        <v>976</v>
      </c>
      <c r="B735" t="s">
        <v>113</v>
      </c>
      <c r="C735" t="s">
        <v>48</v>
      </c>
      <c r="D735" t="s">
        <v>49</v>
      </c>
      <c r="E735">
        <v>699</v>
      </c>
      <c r="F735">
        <v>3</v>
      </c>
      <c r="G735">
        <v>2097</v>
      </c>
      <c r="H735" t="s">
        <v>95</v>
      </c>
      <c r="I735" t="s">
        <v>63</v>
      </c>
      <c r="J735" t="s">
        <v>38</v>
      </c>
      <c r="K735" t="s">
        <v>33</v>
      </c>
      <c r="L735" t="str">
        <f t="shared" si="22"/>
        <v>May</v>
      </c>
      <c r="M735" t="str">
        <f t="shared" si="23"/>
        <v>Monday</v>
      </c>
    </row>
    <row r="736" spans="1:13">
      <c r="A736" t="s">
        <v>977</v>
      </c>
      <c r="B736" t="s">
        <v>295</v>
      </c>
      <c r="C736" t="s">
        <v>101</v>
      </c>
      <c r="D736" t="s">
        <v>81</v>
      </c>
      <c r="E736">
        <v>499</v>
      </c>
      <c r="F736">
        <v>1</v>
      </c>
      <c r="G736">
        <v>499</v>
      </c>
      <c r="H736" t="s">
        <v>119</v>
      </c>
      <c r="I736" t="s">
        <v>57</v>
      </c>
      <c r="J736" t="s">
        <v>38</v>
      </c>
      <c r="K736" t="s">
        <v>18</v>
      </c>
      <c r="L736" t="str">
        <f t="shared" si="22"/>
        <v>May</v>
      </c>
      <c r="M736" t="str">
        <f t="shared" si="23"/>
        <v>Tuesday</v>
      </c>
    </row>
    <row r="737" spans="1:13">
      <c r="A737" t="s">
        <v>978</v>
      </c>
      <c r="B737" t="s">
        <v>143</v>
      </c>
      <c r="C737" t="s">
        <v>48</v>
      </c>
      <c r="D737" t="s">
        <v>49</v>
      </c>
      <c r="E737">
        <v>699</v>
      </c>
      <c r="F737">
        <v>3</v>
      </c>
      <c r="G737">
        <v>2097</v>
      </c>
      <c r="H737" t="s">
        <v>62</v>
      </c>
      <c r="I737" t="s">
        <v>63</v>
      </c>
      <c r="J737" t="s">
        <v>25</v>
      </c>
      <c r="K737" t="s">
        <v>18</v>
      </c>
      <c r="L737" t="str">
        <f t="shared" si="22"/>
        <v>Mar</v>
      </c>
      <c r="M737" t="str">
        <f t="shared" si="23"/>
        <v>Tuesday</v>
      </c>
    </row>
    <row r="738" spans="1:13">
      <c r="A738" t="s">
        <v>979</v>
      </c>
      <c r="B738" t="s">
        <v>255</v>
      </c>
      <c r="C738" t="s">
        <v>36</v>
      </c>
      <c r="D738" t="s">
        <v>29</v>
      </c>
      <c r="E738">
        <v>1999</v>
      </c>
      <c r="F738">
        <v>5</v>
      </c>
      <c r="G738">
        <v>9995</v>
      </c>
      <c r="H738" t="s">
        <v>89</v>
      </c>
      <c r="I738" t="s">
        <v>24</v>
      </c>
      <c r="J738" t="s">
        <v>25</v>
      </c>
      <c r="K738" t="s">
        <v>45</v>
      </c>
      <c r="L738" t="str">
        <f t="shared" si="22"/>
        <v>Mar</v>
      </c>
      <c r="M738" t="str">
        <f t="shared" si="23"/>
        <v>Thursday</v>
      </c>
    </row>
    <row r="739" spans="1:13">
      <c r="A739" t="s">
        <v>980</v>
      </c>
      <c r="B739" t="s">
        <v>598</v>
      </c>
      <c r="C739" t="s">
        <v>122</v>
      </c>
      <c r="D739" t="s">
        <v>29</v>
      </c>
      <c r="E739">
        <v>1299</v>
      </c>
      <c r="F739">
        <v>5</v>
      </c>
      <c r="G739">
        <v>6495</v>
      </c>
      <c r="H739" t="s">
        <v>30</v>
      </c>
      <c r="I739" t="s">
        <v>125</v>
      </c>
      <c r="J739" t="s">
        <v>32</v>
      </c>
      <c r="K739" t="s">
        <v>18</v>
      </c>
      <c r="L739" t="str">
        <f t="shared" si="22"/>
        <v>Jun</v>
      </c>
      <c r="M739" t="str">
        <f t="shared" si="23"/>
        <v>Thursday</v>
      </c>
    </row>
    <row r="740" spans="1:13">
      <c r="A740" t="s">
        <v>981</v>
      </c>
      <c r="B740" t="s">
        <v>748</v>
      </c>
      <c r="C740" t="s">
        <v>162</v>
      </c>
      <c r="D740" t="s">
        <v>29</v>
      </c>
      <c r="E740">
        <v>1799</v>
      </c>
      <c r="F740">
        <v>3</v>
      </c>
      <c r="G740">
        <v>5397</v>
      </c>
      <c r="H740" t="s">
        <v>102</v>
      </c>
      <c r="I740" t="s">
        <v>16</v>
      </c>
      <c r="J740" t="s">
        <v>38</v>
      </c>
      <c r="K740" t="s">
        <v>45</v>
      </c>
      <c r="L740" t="str">
        <f t="shared" si="22"/>
        <v>Mar</v>
      </c>
      <c r="M740" t="str">
        <f t="shared" si="23"/>
        <v>Tuesday</v>
      </c>
    </row>
    <row r="741" spans="1:13">
      <c r="A741" t="s">
        <v>982</v>
      </c>
      <c r="B741" t="s">
        <v>379</v>
      </c>
      <c r="C741" t="s">
        <v>162</v>
      </c>
      <c r="D741" t="s">
        <v>29</v>
      </c>
      <c r="E741">
        <v>1799</v>
      </c>
      <c r="F741">
        <v>3</v>
      </c>
      <c r="G741">
        <v>5397</v>
      </c>
      <c r="H741" t="s">
        <v>157</v>
      </c>
      <c r="I741" t="s">
        <v>105</v>
      </c>
      <c r="J741" t="s">
        <v>90</v>
      </c>
      <c r="K741" t="s">
        <v>18</v>
      </c>
      <c r="L741" t="str">
        <f t="shared" si="22"/>
        <v>Jun</v>
      </c>
      <c r="M741" t="str">
        <f t="shared" si="23"/>
        <v>Friday</v>
      </c>
    </row>
    <row r="742" spans="1:13">
      <c r="A742" t="s">
        <v>983</v>
      </c>
      <c r="B742" t="s">
        <v>143</v>
      </c>
      <c r="C742" t="s">
        <v>76</v>
      </c>
      <c r="D742" t="s">
        <v>49</v>
      </c>
      <c r="E742">
        <v>1599</v>
      </c>
      <c r="F742">
        <v>2</v>
      </c>
      <c r="G742">
        <v>3198</v>
      </c>
      <c r="H742" t="s">
        <v>66</v>
      </c>
      <c r="I742" t="s">
        <v>16</v>
      </c>
      <c r="J742" t="s">
        <v>32</v>
      </c>
      <c r="K742" t="s">
        <v>18</v>
      </c>
      <c r="L742" t="str">
        <f t="shared" si="22"/>
        <v>Mar</v>
      </c>
      <c r="M742" t="str">
        <f t="shared" si="23"/>
        <v>Tuesday</v>
      </c>
    </row>
    <row r="743" spans="1:13">
      <c r="A743" t="s">
        <v>984</v>
      </c>
      <c r="B743" t="s">
        <v>219</v>
      </c>
      <c r="C743" t="s">
        <v>36</v>
      </c>
      <c r="D743" t="s">
        <v>29</v>
      </c>
      <c r="E743">
        <v>1999</v>
      </c>
      <c r="F743">
        <v>2</v>
      </c>
      <c r="G743">
        <v>3998</v>
      </c>
      <c r="H743" t="s">
        <v>30</v>
      </c>
      <c r="I743" t="s">
        <v>67</v>
      </c>
      <c r="J743" t="s">
        <v>17</v>
      </c>
      <c r="K743" t="s">
        <v>33</v>
      </c>
      <c r="L743" t="str">
        <f t="shared" si="22"/>
        <v>Jan</v>
      </c>
      <c r="M743" t="str">
        <f t="shared" si="23"/>
        <v>Monday</v>
      </c>
    </row>
    <row r="744" spans="1:13">
      <c r="A744" t="s">
        <v>985</v>
      </c>
      <c r="B744" t="s">
        <v>179</v>
      </c>
      <c r="C744" t="s">
        <v>21</v>
      </c>
      <c r="D744" t="s">
        <v>22</v>
      </c>
      <c r="E744">
        <v>1499</v>
      </c>
      <c r="F744">
        <v>3</v>
      </c>
      <c r="G744">
        <v>4497</v>
      </c>
      <c r="H744" t="s">
        <v>89</v>
      </c>
      <c r="I744" t="s">
        <v>16</v>
      </c>
      <c r="J744" t="s">
        <v>17</v>
      </c>
      <c r="K744" t="s">
        <v>33</v>
      </c>
      <c r="L744" t="str">
        <f t="shared" si="22"/>
        <v>May</v>
      </c>
      <c r="M744" t="str">
        <f t="shared" si="23"/>
        <v>Wednesday</v>
      </c>
    </row>
    <row r="745" spans="1:13">
      <c r="A745" t="s">
        <v>986</v>
      </c>
      <c r="B745" t="s">
        <v>267</v>
      </c>
      <c r="C745" t="s">
        <v>80</v>
      </c>
      <c r="D745" t="s">
        <v>81</v>
      </c>
      <c r="E745">
        <v>299</v>
      </c>
      <c r="F745">
        <v>3</v>
      </c>
      <c r="G745">
        <v>897</v>
      </c>
      <c r="H745" t="s">
        <v>95</v>
      </c>
      <c r="I745" t="s">
        <v>125</v>
      </c>
      <c r="J745" t="s">
        <v>32</v>
      </c>
      <c r="K745" t="s">
        <v>18</v>
      </c>
      <c r="L745" t="str">
        <f t="shared" si="22"/>
        <v>Mar</v>
      </c>
      <c r="M745" t="str">
        <f t="shared" si="23"/>
        <v>Saturday</v>
      </c>
    </row>
    <row r="746" spans="1:13">
      <c r="A746" t="s">
        <v>987</v>
      </c>
      <c r="B746" t="s">
        <v>381</v>
      </c>
      <c r="C746" t="s">
        <v>36</v>
      </c>
      <c r="D746" t="s">
        <v>29</v>
      </c>
      <c r="E746">
        <v>1999</v>
      </c>
      <c r="F746">
        <v>2</v>
      </c>
      <c r="G746">
        <v>3998</v>
      </c>
      <c r="H746" t="s">
        <v>157</v>
      </c>
      <c r="I746" t="s">
        <v>125</v>
      </c>
      <c r="J746" t="s">
        <v>17</v>
      </c>
      <c r="K746" t="s">
        <v>18</v>
      </c>
      <c r="L746" t="str">
        <f t="shared" si="22"/>
        <v>Apr</v>
      </c>
      <c r="M746" t="str">
        <f t="shared" si="23"/>
        <v>Thursday</v>
      </c>
    </row>
    <row r="747" spans="1:13">
      <c r="A747" t="s">
        <v>988</v>
      </c>
      <c r="B747" t="s">
        <v>12</v>
      </c>
      <c r="C747" t="s">
        <v>76</v>
      </c>
      <c r="D747" t="s">
        <v>49</v>
      </c>
      <c r="E747">
        <v>1599</v>
      </c>
      <c r="F747">
        <v>4</v>
      </c>
      <c r="G747">
        <v>6396</v>
      </c>
      <c r="H747" t="s">
        <v>37</v>
      </c>
      <c r="I747" t="s">
        <v>67</v>
      </c>
      <c r="J747" t="s">
        <v>25</v>
      </c>
      <c r="K747" t="s">
        <v>18</v>
      </c>
      <c r="L747" t="str">
        <f t="shared" si="22"/>
        <v>Apr</v>
      </c>
      <c r="M747" t="str">
        <f t="shared" si="23"/>
        <v>Thursday</v>
      </c>
    </row>
    <row r="748" spans="1:13">
      <c r="A748" t="s">
        <v>989</v>
      </c>
      <c r="B748" t="s">
        <v>55</v>
      </c>
      <c r="C748" t="s">
        <v>52</v>
      </c>
      <c r="D748" t="s">
        <v>53</v>
      </c>
      <c r="E748">
        <v>199</v>
      </c>
      <c r="F748">
        <v>2</v>
      </c>
      <c r="G748">
        <v>398</v>
      </c>
      <c r="H748" t="s">
        <v>102</v>
      </c>
      <c r="I748" t="s">
        <v>31</v>
      </c>
      <c r="J748" t="s">
        <v>17</v>
      </c>
      <c r="K748" t="s">
        <v>18</v>
      </c>
      <c r="L748" t="str">
        <f t="shared" si="22"/>
        <v>Mar</v>
      </c>
      <c r="M748" t="str">
        <f t="shared" si="23"/>
        <v>Sunday</v>
      </c>
    </row>
    <row r="749" spans="1:13">
      <c r="A749" t="s">
        <v>990</v>
      </c>
      <c r="B749" t="s">
        <v>415</v>
      </c>
      <c r="C749" t="s">
        <v>13</v>
      </c>
      <c r="D749" t="s">
        <v>14</v>
      </c>
      <c r="E749">
        <v>2499</v>
      </c>
      <c r="F749">
        <v>3</v>
      </c>
      <c r="G749">
        <v>7497</v>
      </c>
      <c r="H749" t="s">
        <v>71</v>
      </c>
      <c r="I749" t="s">
        <v>57</v>
      </c>
      <c r="J749" t="s">
        <v>90</v>
      </c>
      <c r="K749" t="s">
        <v>18</v>
      </c>
      <c r="L749" t="str">
        <f t="shared" si="22"/>
        <v>May</v>
      </c>
      <c r="M749" t="str">
        <f t="shared" si="23"/>
        <v>Tuesday</v>
      </c>
    </row>
    <row r="750" spans="1:13">
      <c r="A750" t="s">
        <v>991</v>
      </c>
      <c r="B750" t="s">
        <v>291</v>
      </c>
      <c r="C750" t="s">
        <v>21</v>
      </c>
      <c r="D750" t="s">
        <v>22</v>
      </c>
      <c r="E750">
        <v>1499</v>
      </c>
      <c r="F750">
        <v>2</v>
      </c>
      <c r="G750">
        <v>2998</v>
      </c>
      <c r="H750" t="s">
        <v>62</v>
      </c>
      <c r="I750" t="s">
        <v>63</v>
      </c>
      <c r="J750" t="s">
        <v>17</v>
      </c>
      <c r="K750" t="s">
        <v>33</v>
      </c>
      <c r="L750" t="str">
        <f t="shared" si="22"/>
        <v>Apr</v>
      </c>
      <c r="M750" t="str">
        <f t="shared" si="23"/>
        <v>Saturday</v>
      </c>
    </row>
    <row r="751" spans="1:13">
      <c r="A751" t="s">
        <v>992</v>
      </c>
      <c r="B751" t="s">
        <v>472</v>
      </c>
      <c r="C751" t="s">
        <v>80</v>
      </c>
      <c r="D751" t="s">
        <v>81</v>
      </c>
      <c r="E751">
        <v>299</v>
      </c>
      <c r="F751">
        <v>4</v>
      </c>
      <c r="G751">
        <v>1196</v>
      </c>
      <c r="H751" t="s">
        <v>56</v>
      </c>
      <c r="I751" t="s">
        <v>77</v>
      </c>
      <c r="J751" t="s">
        <v>38</v>
      </c>
      <c r="K751" t="s">
        <v>18</v>
      </c>
      <c r="L751" t="str">
        <f t="shared" si="22"/>
        <v>Jun</v>
      </c>
      <c r="M751" t="str">
        <f t="shared" si="23"/>
        <v>Thursday</v>
      </c>
    </row>
    <row r="752" spans="1:13">
      <c r="A752" t="s">
        <v>993</v>
      </c>
      <c r="B752" t="s">
        <v>111</v>
      </c>
      <c r="C752" t="s">
        <v>21</v>
      </c>
      <c r="D752" t="s">
        <v>22</v>
      </c>
      <c r="E752">
        <v>1499</v>
      </c>
      <c r="F752">
        <v>2</v>
      </c>
      <c r="G752">
        <v>2998</v>
      </c>
      <c r="H752" t="s">
        <v>71</v>
      </c>
      <c r="I752" t="s">
        <v>24</v>
      </c>
      <c r="J752" t="s">
        <v>38</v>
      </c>
      <c r="K752" t="s">
        <v>18</v>
      </c>
      <c r="L752" t="str">
        <f t="shared" si="22"/>
        <v>Apr</v>
      </c>
      <c r="M752" t="str">
        <f t="shared" si="23"/>
        <v>Sunday</v>
      </c>
    </row>
    <row r="753" spans="1:13">
      <c r="A753" t="s">
        <v>994</v>
      </c>
      <c r="B753" t="s">
        <v>272</v>
      </c>
      <c r="C753" t="s">
        <v>122</v>
      </c>
      <c r="D753" t="s">
        <v>29</v>
      </c>
      <c r="E753">
        <v>1299</v>
      </c>
      <c r="F753">
        <v>4</v>
      </c>
      <c r="G753">
        <v>5196</v>
      </c>
      <c r="H753" t="s">
        <v>157</v>
      </c>
      <c r="I753" t="s">
        <v>24</v>
      </c>
      <c r="J753" t="s">
        <v>90</v>
      </c>
      <c r="K753" t="s">
        <v>33</v>
      </c>
      <c r="L753" t="str">
        <f t="shared" si="22"/>
        <v>Feb</v>
      </c>
      <c r="M753" t="str">
        <f t="shared" si="23"/>
        <v>Monday</v>
      </c>
    </row>
    <row r="754" spans="1:13">
      <c r="A754" t="s">
        <v>995</v>
      </c>
      <c r="B754" t="s">
        <v>177</v>
      </c>
      <c r="C754" t="s">
        <v>101</v>
      </c>
      <c r="D754" t="s">
        <v>81</v>
      </c>
      <c r="E754">
        <v>499</v>
      </c>
      <c r="F754">
        <v>3</v>
      </c>
      <c r="G754">
        <v>1497</v>
      </c>
      <c r="H754" t="s">
        <v>62</v>
      </c>
      <c r="I754" t="s">
        <v>31</v>
      </c>
      <c r="J754" t="s">
        <v>38</v>
      </c>
      <c r="K754" t="s">
        <v>33</v>
      </c>
      <c r="L754" t="str">
        <f t="shared" si="22"/>
        <v>Jan</v>
      </c>
      <c r="M754" t="str">
        <f t="shared" si="23"/>
        <v>Saturday</v>
      </c>
    </row>
    <row r="755" spans="1:13">
      <c r="A755" t="s">
        <v>996</v>
      </c>
      <c r="B755" t="s">
        <v>198</v>
      </c>
      <c r="C755" t="s">
        <v>70</v>
      </c>
      <c r="D755" t="s">
        <v>29</v>
      </c>
      <c r="E755">
        <v>799</v>
      </c>
      <c r="F755">
        <v>2</v>
      </c>
      <c r="G755">
        <v>1598</v>
      </c>
      <c r="H755" t="s">
        <v>89</v>
      </c>
      <c r="I755" t="s">
        <v>57</v>
      </c>
      <c r="J755" t="s">
        <v>90</v>
      </c>
      <c r="K755" t="s">
        <v>18</v>
      </c>
      <c r="L755" t="str">
        <f t="shared" si="22"/>
        <v>May</v>
      </c>
      <c r="M755" t="str">
        <f t="shared" si="23"/>
        <v>Tuesday</v>
      </c>
    </row>
    <row r="756" spans="1:13">
      <c r="A756" t="s">
        <v>997</v>
      </c>
      <c r="B756" t="s">
        <v>243</v>
      </c>
      <c r="C756" t="s">
        <v>48</v>
      </c>
      <c r="D756" t="s">
        <v>49</v>
      </c>
      <c r="E756">
        <v>699</v>
      </c>
      <c r="F756">
        <v>2</v>
      </c>
      <c r="G756">
        <v>1398</v>
      </c>
      <c r="H756" t="s">
        <v>71</v>
      </c>
      <c r="I756" t="s">
        <v>24</v>
      </c>
      <c r="J756" t="s">
        <v>90</v>
      </c>
      <c r="K756" t="s">
        <v>18</v>
      </c>
      <c r="L756" t="str">
        <f t="shared" si="22"/>
        <v>Feb</v>
      </c>
      <c r="M756" t="str">
        <f t="shared" si="23"/>
        <v>Friday</v>
      </c>
    </row>
    <row r="757" spans="1:13">
      <c r="A757" t="s">
        <v>998</v>
      </c>
      <c r="B757" t="s">
        <v>281</v>
      </c>
      <c r="C757" t="s">
        <v>70</v>
      </c>
      <c r="D757" t="s">
        <v>29</v>
      </c>
      <c r="E757">
        <v>799</v>
      </c>
      <c r="F757">
        <v>5</v>
      </c>
      <c r="G757">
        <v>3995</v>
      </c>
      <c r="H757" t="s">
        <v>37</v>
      </c>
      <c r="I757" t="s">
        <v>105</v>
      </c>
      <c r="J757" t="s">
        <v>17</v>
      </c>
      <c r="K757" t="s">
        <v>18</v>
      </c>
      <c r="L757" t="str">
        <f t="shared" si="22"/>
        <v>Apr</v>
      </c>
      <c r="M757" t="str">
        <f t="shared" si="23"/>
        <v>Saturday</v>
      </c>
    </row>
    <row r="758" spans="1:13">
      <c r="A758" t="s">
        <v>999</v>
      </c>
      <c r="B758" t="s">
        <v>137</v>
      </c>
      <c r="C758" t="s">
        <v>80</v>
      </c>
      <c r="D758" t="s">
        <v>81</v>
      </c>
      <c r="E758">
        <v>299</v>
      </c>
      <c r="F758">
        <v>3</v>
      </c>
      <c r="G758">
        <v>897</v>
      </c>
      <c r="H758" t="s">
        <v>95</v>
      </c>
      <c r="I758" t="s">
        <v>98</v>
      </c>
      <c r="J758" t="s">
        <v>90</v>
      </c>
      <c r="K758" t="s">
        <v>18</v>
      </c>
      <c r="L758" t="str">
        <f t="shared" si="22"/>
        <v>Mar</v>
      </c>
      <c r="M758" t="str">
        <f t="shared" si="23"/>
        <v>Monday</v>
      </c>
    </row>
    <row r="759" spans="1:13">
      <c r="A759" t="s">
        <v>1000</v>
      </c>
      <c r="B759" t="s">
        <v>159</v>
      </c>
      <c r="C759" t="s">
        <v>48</v>
      </c>
      <c r="D759" t="s">
        <v>49</v>
      </c>
      <c r="E759">
        <v>699</v>
      </c>
      <c r="F759">
        <v>3</v>
      </c>
      <c r="G759">
        <v>2097</v>
      </c>
      <c r="H759" t="s">
        <v>157</v>
      </c>
      <c r="I759" t="s">
        <v>44</v>
      </c>
      <c r="J759" t="s">
        <v>25</v>
      </c>
      <c r="K759" t="s">
        <v>45</v>
      </c>
      <c r="L759" t="str">
        <f t="shared" si="22"/>
        <v>Apr</v>
      </c>
      <c r="M759" t="str">
        <f t="shared" si="23"/>
        <v>Thursday</v>
      </c>
    </row>
    <row r="760" spans="1:13">
      <c r="A760" t="s">
        <v>1001</v>
      </c>
      <c r="B760" t="s">
        <v>257</v>
      </c>
      <c r="C760" t="s">
        <v>52</v>
      </c>
      <c r="D760" t="s">
        <v>53</v>
      </c>
      <c r="E760">
        <v>199</v>
      </c>
      <c r="F760">
        <v>2</v>
      </c>
      <c r="G760">
        <v>398</v>
      </c>
      <c r="H760" t="s">
        <v>157</v>
      </c>
      <c r="I760" t="s">
        <v>24</v>
      </c>
      <c r="J760" t="s">
        <v>32</v>
      </c>
      <c r="K760" t="s">
        <v>18</v>
      </c>
      <c r="L760" t="str">
        <f t="shared" si="22"/>
        <v>Apr</v>
      </c>
      <c r="M760" t="str">
        <f t="shared" si="23"/>
        <v>Wednesday</v>
      </c>
    </row>
    <row r="761" spans="1:13">
      <c r="A761" t="s">
        <v>1002</v>
      </c>
      <c r="B761" t="s">
        <v>65</v>
      </c>
      <c r="C761" t="s">
        <v>87</v>
      </c>
      <c r="D761" t="s">
        <v>88</v>
      </c>
      <c r="E761">
        <v>5499</v>
      </c>
      <c r="F761">
        <v>4</v>
      </c>
      <c r="G761">
        <v>21996</v>
      </c>
      <c r="H761" t="s">
        <v>30</v>
      </c>
      <c r="I761" t="s">
        <v>31</v>
      </c>
      <c r="J761" t="s">
        <v>17</v>
      </c>
      <c r="K761" t="s">
        <v>18</v>
      </c>
      <c r="L761" t="str">
        <f t="shared" si="22"/>
        <v>Jan</v>
      </c>
      <c r="M761" t="str">
        <f t="shared" si="23"/>
        <v>Thursday</v>
      </c>
    </row>
    <row r="762" spans="1:13">
      <c r="A762" t="s">
        <v>1003</v>
      </c>
      <c r="B762" t="s">
        <v>512</v>
      </c>
      <c r="C762" t="s">
        <v>52</v>
      </c>
      <c r="D762" t="s">
        <v>53</v>
      </c>
      <c r="E762">
        <v>199</v>
      </c>
      <c r="F762">
        <v>1</v>
      </c>
      <c r="G762">
        <v>199</v>
      </c>
      <c r="H762" t="s">
        <v>186</v>
      </c>
      <c r="I762" t="s">
        <v>125</v>
      </c>
      <c r="J762" t="s">
        <v>90</v>
      </c>
      <c r="K762" t="s">
        <v>33</v>
      </c>
      <c r="L762" t="str">
        <f t="shared" si="22"/>
        <v>Mar</v>
      </c>
      <c r="M762" t="str">
        <f t="shared" si="23"/>
        <v>Wednesday</v>
      </c>
    </row>
    <row r="763" spans="1:13">
      <c r="A763" t="s">
        <v>1004</v>
      </c>
      <c r="B763" t="s">
        <v>494</v>
      </c>
      <c r="C763" t="s">
        <v>101</v>
      </c>
      <c r="D763" t="s">
        <v>81</v>
      </c>
      <c r="E763">
        <v>499</v>
      </c>
      <c r="F763">
        <v>4</v>
      </c>
      <c r="G763">
        <v>1996</v>
      </c>
      <c r="H763" t="s">
        <v>30</v>
      </c>
      <c r="I763" t="s">
        <v>44</v>
      </c>
      <c r="J763" t="s">
        <v>17</v>
      </c>
      <c r="K763" t="s">
        <v>18</v>
      </c>
      <c r="L763" t="str">
        <f t="shared" si="22"/>
        <v>Mar</v>
      </c>
      <c r="M763" t="str">
        <f t="shared" si="23"/>
        <v>Sunday</v>
      </c>
    </row>
    <row r="764" spans="1:13">
      <c r="A764" t="s">
        <v>1005</v>
      </c>
      <c r="B764" t="s">
        <v>630</v>
      </c>
      <c r="C764" t="s">
        <v>76</v>
      </c>
      <c r="D764" t="s">
        <v>49</v>
      </c>
      <c r="E764">
        <v>1599</v>
      </c>
      <c r="F764">
        <v>1</v>
      </c>
      <c r="G764">
        <v>1599</v>
      </c>
      <c r="H764" t="s">
        <v>56</v>
      </c>
      <c r="I764" t="s">
        <v>31</v>
      </c>
      <c r="J764" t="s">
        <v>25</v>
      </c>
      <c r="K764" t="s">
        <v>18</v>
      </c>
      <c r="L764" t="str">
        <f t="shared" si="22"/>
        <v>Jan</v>
      </c>
      <c r="M764" t="str">
        <f t="shared" si="23"/>
        <v>Monday</v>
      </c>
    </row>
    <row r="765" spans="1:13">
      <c r="A765" t="s">
        <v>1006</v>
      </c>
      <c r="B765" t="s">
        <v>173</v>
      </c>
      <c r="C765" t="s">
        <v>76</v>
      </c>
      <c r="D765" t="s">
        <v>49</v>
      </c>
      <c r="E765">
        <v>1599</v>
      </c>
      <c r="F765">
        <v>1</v>
      </c>
      <c r="G765">
        <v>1599</v>
      </c>
      <c r="H765" t="s">
        <v>43</v>
      </c>
      <c r="I765" t="s">
        <v>67</v>
      </c>
      <c r="J765" t="s">
        <v>32</v>
      </c>
      <c r="K765" t="s">
        <v>33</v>
      </c>
      <c r="L765" t="str">
        <f t="shared" si="22"/>
        <v>Jan</v>
      </c>
      <c r="M765" t="str">
        <f t="shared" si="23"/>
        <v>Thursday</v>
      </c>
    </row>
    <row r="766" spans="1:13">
      <c r="A766" t="s">
        <v>1007</v>
      </c>
      <c r="B766" t="s">
        <v>250</v>
      </c>
      <c r="C766" t="s">
        <v>21</v>
      </c>
      <c r="D766" t="s">
        <v>22</v>
      </c>
      <c r="E766">
        <v>1499</v>
      </c>
      <c r="F766">
        <v>4</v>
      </c>
      <c r="G766">
        <v>5996</v>
      </c>
      <c r="H766" t="s">
        <v>56</v>
      </c>
      <c r="I766" t="s">
        <v>67</v>
      </c>
      <c r="J766" t="s">
        <v>25</v>
      </c>
      <c r="K766" t="s">
        <v>18</v>
      </c>
      <c r="L766" t="str">
        <f t="shared" si="22"/>
        <v>Jan</v>
      </c>
      <c r="M766" t="str">
        <f t="shared" si="23"/>
        <v>Thursday</v>
      </c>
    </row>
    <row r="767" spans="1:13">
      <c r="A767" t="s">
        <v>1008</v>
      </c>
      <c r="B767" t="s">
        <v>42</v>
      </c>
      <c r="C767" t="s">
        <v>80</v>
      </c>
      <c r="D767" t="s">
        <v>81</v>
      </c>
      <c r="E767">
        <v>299</v>
      </c>
      <c r="F767">
        <v>4</v>
      </c>
      <c r="G767">
        <v>1196</v>
      </c>
      <c r="H767" t="s">
        <v>23</v>
      </c>
      <c r="I767" t="s">
        <v>67</v>
      </c>
      <c r="J767" t="s">
        <v>17</v>
      </c>
      <c r="K767" t="s">
        <v>18</v>
      </c>
      <c r="L767" t="str">
        <f t="shared" si="22"/>
        <v>Mar</v>
      </c>
      <c r="M767" t="str">
        <f t="shared" si="23"/>
        <v>Wednesday</v>
      </c>
    </row>
    <row r="768" spans="1:13">
      <c r="A768" t="s">
        <v>1009</v>
      </c>
      <c r="B768" t="s">
        <v>210</v>
      </c>
      <c r="C768" t="s">
        <v>21</v>
      </c>
      <c r="D768" t="s">
        <v>22</v>
      </c>
      <c r="E768">
        <v>1499</v>
      </c>
      <c r="F768">
        <v>3</v>
      </c>
      <c r="G768">
        <v>4497</v>
      </c>
      <c r="H768" t="s">
        <v>62</v>
      </c>
      <c r="I768" t="s">
        <v>105</v>
      </c>
      <c r="J768" t="s">
        <v>90</v>
      </c>
      <c r="K768" t="s">
        <v>18</v>
      </c>
      <c r="L768" t="str">
        <f t="shared" si="22"/>
        <v>Apr</v>
      </c>
      <c r="M768" t="str">
        <f t="shared" si="23"/>
        <v>Wednesday</v>
      </c>
    </row>
    <row r="769" spans="1:13">
      <c r="A769" t="s">
        <v>1010</v>
      </c>
      <c r="B769" t="s">
        <v>1011</v>
      </c>
      <c r="C769" t="s">
        <v>135</v>
      </c>
      <c r="D769" t="s">
        <v>29</v>
      </c>
      <c r="E769">
        <v>3999</v>
      </c>
      <c r="F769">
        <v>1</v>
      </c>
      <c r="G769">
        <v>3999</v>
      </c>
      <c r="H769" t="s">
        <v>119</v>
      </c>
      <c r="I769" t="s">
        <v>44</v>
      </c>
      <c r="J769" t="s">
        <v>38</v>
      </c>
      <c r="K769" t="s">
        <v>18</v>
      </c>
      <c r="L769" t="str">
        <f t="shared" si="22"/>
        <v>May</v>
      </c>
      <c r="M769" t="str">
        <f t="shared" si="23"/>
        <v>Tuesday</v>
      </c>
    </row>
    <row r="770" spans="1:13">
      <c r="A770" t="s">
        <v>1012</v>
      </c>
      <c r="B770" t="s">
        <v>279</v>
      </c>
      <c r="C770" t="s">
        <v>87</v>
      </c>
      <c r="D770" t="s">
        <v>88</v>
      </c>
      <c r="E770">
        <v>5499</v>
      </c>
      <c r="F770">
        <v>4</v>
      </c>
      <c r="G770">
        <v>21996</v>
      </c>
      <c r="H770" t="s">
        <v>95</v>
      </c>
      <c r="I770" t="s">
        <v>105</v>
      </c>
      <c r="J770" t="s">
        <v>38</v>
      </c>
      <c r="K770" t="s">
        <v>18</v>
      </c>
      <c r="L770" t="str">
        <f t="shared" si="22"/>
        <v>May</v>
      </c>
      <c r="M770" t="str">
        <f t="shared" si="23"/>
        <v>Sunday</v>
      </c>
    </row>
    <row r="771" spans="1:13">
      <c r="A771" t="s">
        <v>1013</v>
      </c>
      <c r="B771" t="s">
        <v>354</v>
      </c>
      <c r="C771" t="s">
        <v>21</v>
      </c>
      <c r="D771" t="s">
        <v>22</v>
      </c>
      <c r="E771">
        <v>1499</v>
      </c>
      <c r="F771">
        <v>2</v>
      </c>
      <c r="G771">
        <v>2998</v>
      </c>
      <c r="H771" t="s">
        <v>186</v>
      </c>
      <c r="I771" t="s">
        <v>63</v>
      </c>
      <c r="J771" t="s">
        <v>25</v>
      </c>
      <c r="K771" t="s">
        <v>45</v>
      </c>
      <c r="L771" t="str">
        <f t="shared" ref="L771:L834" si="24">TEXT(B771,"MMM")</f>
        <v>May</v>
      </c>
      <c r="M771" t="str">
        <f t="shared" ref="M771:M834" si="25">TEXT(B771,"dddd")</f>
        <v>Monday</v>
      </c>
    </row>
    <row r="772" spans="1:13">
      <c r="A772" t="s">
        <v>1014</v>
      </c>
      <c r="B772" t="s">
        <v>269</v>
      </c>
      <c r="C772" t="s">
        <v>80</v>
      </c>
      <c r="D772" t="s">
        <v>81</v>
      </c>
      <c r="E772">
        <v>299</v>
      </c>
      <c r="F772">
        <v>2</v>
      </c>
      <c r="G772">
        <v>598</v>
      </c>
      <c r="H772" t="s">
        <v>89</v>
      </c>
      <c r="I772" t="s">
        <v>98</v>
      </c>
      <c r="J772" t="s">
        <v>17</v>
      </c>
      <c r="K772" t="s">
        <v>18</v>
      </c>
      <c r="L772" t="str">
        <f t="shared" si="24"/>
        <v>Jan</v>
      </c>
      <c r="M772" t="str">
        <f t="shared" si="25"/>
        <v>Saturday</v>
      </c>
    </row>
    <row r="773" spans="1:13">
      <c r="A773" t="s">
        <v>1015</v>
      </c>
      <c r="B773" t="s">
        <v>217</v>
      </c>
      <c r="C773" t="s">
        <v>80</v>
      </c>
      <c r="D773" t="s">
        <v>81</v>
      </c>
      <c r="E773">
        <v>299</v>
      </c>
      <c r="F773">
        <v>4</v>
      </c>
      <c r="G773">
        <v>1196</v>
      </c>
      <c r="H773" t="s">
        <v>30</v>
      </c>
      <c r="I773" t="s">
        <v>31</v>
      </c>
      <c r="J773" t="s">
        <v>90</v>
      </c>
      <c r="K773" t="s">
        <v>18</v>
      </c>
      <c r="L773" t="str">
        <f t="shared" si="24"/>
        <v>Jun</v>
      </c>
      <c r="M773" t="str">
        <f t="shared" si="25"/>
        <v>Sunday</v>
      </c>
    </row>
    <row r="774" spans="1:13">
      <c r="A774" t="s">
        <v>1016</v>
      </c>
      <c r="B774" t="s">
        <v>281</v>
      </c>
      <c r="C774" t="s">
        <v>70</v>
      </c>
      <c r="D774" t="s">
        <v>29</v>
      </c>
      <c r="E774">
        <v>799</v>
      </c>
      <c r="F774">
        <v>4</v>
      </c>
      <c r="G774">
        <v>3196</v>
      </c>
      <c r="H774" t="s">
        <v>66</v>
      </c>
      <c r="I774" t="s">
        <v>98</v>
      </c>
      <c r="J774" t="s">
        <v>17</v>
      </c>
      <c r="K774" t="s">
        <v>18</v>
      </c>
      <c r="L774" t="str">
        <f t="shared" si="24"/>
        <v>Apr</v>
      </c>
      <c r="M774" t="str">
        <f t="shared" si="25"/>
        <v>Saturday</v>
      </c>
    </row>
    <row r="775" spans="1:13">
      <c r="A775" t="s">
        <v>1017</v>
      </c>
      <c r="B775" t="s">
        <v>224</v>
      </c>
      <c r="C775" t="s">
        <v>122</v>
      </c>
      <c r="D775" t="s">
        <v>29</v>
      </c>
      <c r="E775">
        <v>1299</v>
      </c>
      <c r="F775">
        <v>5</v>
      </c>
      <c r="G775">
        <v>6495</v>
      </c>
      <c r="H775" t="s">
        <v>102</v>
      </c>
      <c r="I775" t="s">
        <v>82</v>
      </c>
      <c r="J775" t="s">
        <v>25</v>
      </c>
      <c r="K775" t="s">
        <v>18</v>
      </c>
      <c r="L775" t="str">
        <f t="shared" si="24"/>
        <v>Feb</v>
      </c>
      <c r="M775" t="str">
        <f t="shared" si="25"/>
        <v>Tuesday</v>
      </c>
    </row>
    <row r="776" spans="1:13">
      <c r="A776" t="s">
        <v>1018</v>
      </c>
      <c r="B776" t="s">
        <v>640</v>
      </c>
      <c r="C776" t="s">
        <v>135</v>
      </c>
      <c r="D776" t="s">
        <v>29</v>
      </c>
      <c r="E776">
        <v>3999</v>
      </c>
      <c r="F776">
        <v>2</v>
      </c>
      <c r="G776">
        <v>7998</v>
      </c>
      <c r="H776" t="s">
        <v>102</v>
      </c>
      <c r="I776" t="s">
        <v>24</v>
      </c>
      <c r="J776" t="s">
        <v>38</v>
      </c>
      <c r="K776" t="s">
        <v>33</v>
      </c>
      <c r="L776" t="str">
        <f t="shared" si="24"/>
        <v>May</v>
      </c>
      <c r="M776" t="str">
        <f t="shared" si="25"/>
        <v>Monday</v>
      </c>
    </row>
    <row r="777" spans="1:13">
      <c r="A777" t="s">
        <v>1019</v>
      </c>
      <c r="B777" t="s">
        <v>75</v>
      </c>
      <c r="C777" t="s">
        <v>135</v>
      </c>
      <c r="D777" t="s">
        <v>29</v>
      </c>
      <c r="E777">
        <v>3999</v>
      </c>
      <c r="F777">
        <v>5</v>
      </c>
      <c r="G777">
        <v>19995</v>
      </c>
      <c r="H777" t="s">
        <v>30</v>
      </c>
      <c r="I777" t="s">
        <v>125</v>
      </c>
      <c r="J777" t="s">
        <v>32</v>
      </c>
      <c r="K777" t="s">
        <v>18</v>
      </c>
      <c r="L777" t="str">
        <f t="shared" si="24"/>
        <v>Jun</v>
      </c>
      <c r="M777" t="str">
        <f t="shared" si="25"/>
        <v>Thursday</v>
      </c>
    </row>
    <row r="778" spans="1:13">
      <c r="A778" t="s">
        <v>1020</v>
      </c>
      <c r="B778" t="s">
        <v>358</v>
      </c>
      <c r="C778" t="s">
        <v>76</v>
      </c>
      <c r="D778" t="s">
        <v>49</v>
      </c>
      <c r="E778">
        <v>1599</v>
      </c>
      <c r="F778">
        <v>4</v>
      </c>
      <c r="G778">
        <v>6396</v>
      </c>
      <c r="H778" t="s">
        <v>95</v>
      </c>
      <c r="I778" t="s">
        <v>105</v>
      </c>
      <c r="J778" t="s">
        <v>25</v>
      </c>
      <c r="K778" t="s">
        <v>18</v>
      </c>
      <c r="L778" t="str">
        <f t="shared" si="24"/>
        <v>Feb</v>
      </c>
      <c r="M778" t="str">
        <f t="shared" si="25"/>
        <v>Monday</v>
      </c>
    </row>
    <row r="779" spans="1:13">
      <c r="A779" t="s">
        <v>1021</v>
      </c>
      <c r="B779" t="s">
        <v>196</v>
      </c>
      <c r="C779" t="s">
        <v>76</v>
      </c>
      <c r="D779" t="s">
        <v>49</v>
      </c>
      <c r="E779">
        <v>1599</v>
      </c>
      <c r="F779">
        <v>1</v>
      </c>
      <c r="G779">
        <v>1599</v>
      </c>
      <c r="H779" t="s">
        <v>102</v>
      </c>
      <c r="I779" t="s">
        <v>24</v>
      </c>
      <c r="J779" t="s">
        <v>38</v>
      </c>
      <c r="K779" t="s">
        <v>18</v>
      </c>
      <c r="L779" t="str">
        <f t="shared" si="24"/>
        <v>May</v>
      </c>
      <c r="M779" t="str">
        <f t="shared" si="25"/>
        <v>Friday</v>
      </c>
    </row>
    <row r="780" spans="1:13">
      <c r="A780" t="s">
        <v>1022</v>
      </c>
      <c r="B780" t="s">
        <v>457</v>
      </c>
      <c r="C780" t="s">
        <v>87</v>
      </c>
      <c r="D780" t="s">
        <v>88</v>
      </c>
      <c r="E780">
        <v>5499</v>
      </c>
      <c r="F780">
        <v>3</v>
      </c>
      <c r="G780">
        <v>16497</v>
      </c>
      <c r="H780" t="s">
        <v>15</v>
      </c>
      <c r="I780" t="s">
        <v>44</v>
      </c>
      <c r="J780" t="s">
        <v>38</v>
      </c>
      <c r="K780" t="s">
        <v>18</v>
      </c>
      <c r="L780" t="str">
        <f t="shared" si="24"/>
        <v>Apr</v>
      </c>
      <c r="M780" t="str">
        <f t="shared" si="25"/>
        <v>Tuesday</v>
      </c>
    </row>
    <row r="781" spans="1:13">
      <c r="A781" t="s">
        <v>1023</v>
      </c>
      <c r="B781" t="s">
        <v>600</v>
      </c>
      <c r="C781" t="s">
        <v>76</v>
      </c>
      <c r="D781" t="s">
        <v>49</v>
      </c>
      <c r="E781">
        <v>1599</v>
      </c>
      <c r="F781">
        <v>5</v>
      </c>
      <c r="G781">
        <v>7995</v>
      </c>
      <c r="H781" t="s">
        <v>186</v>
      </c>
      <c r="I781" t="s">
        <v>67</v>
      </c>
      <c r="J781" t="s">
        <v>90</v>
      </c>
      <c r="K781" t="s">
        <v>18</v>
      </c>
      <c r="L781" t="str">
        <f t="shared" si="24"/>
        <v>Feb</v>
      </c>
      <c r="M781" t="str">
        <f t="shared" si="25"/>
        <v>Saturday</v>
      </c>
    </row>
    <row r="782" spans="1:13">
      <c r="A782" t="s">
        <v>1024</v>
      </c>
      <c r="B782" t="s">
        <v>886</v>
      </c>
      <c r="C782" t="s">
        <v>135</v>
      </c>
      <c r="D782" t="s">
        <v>29</v>
      </c>
      <c r="E782">
        <v>3999</v>
      </c>
      <c r="F782">
        <v>5</v>
      </c>
      <c r="G782">
        <v>19995</v>
      </c>
      <c r="H782" t="s">
        <v>119</v>
      </c>
      <c r="I782" t="s">
        <v>31</v>
      </c>
      <c r="J782" t="s">
        <v>38</v>
      </c>
      <c r="K782" t="s">
        <v>18</v>
      </c>
      <c r="L782" t="str">
        <f t="shared" si="24"/>
        <v>Apr</v>
      </c>
      <c r="M782" t="str">
        <f t="shared" si="25"/>
        <v>Monday</v>
      </c>
    </row>
    <row r="783" spans="1:13">
      <c r="A783" t="s">
        <v>1025</v>
      </c>
      <c r="B783" t="s">
        <v>260</v>
      </c>
      <c r="C783" t="s">
        <v>48</v>
      </c>
      <c r="D783" t="s">
        <v>49</v>
      </c>
      <c r="E783">
        <v>699</v>
      </c>
      <c r="F783">
        <v>1</v>
      </c>
      <c r="G783">
        <v>699</v>
      </c>
      <c r="H783" t="s">
        <v>30</v>
      </c>
      <c r="I783" t="s">
        <v>98</v>
      </c>
      <c r="J783" t="s">
        <v>25</v>
      </c>
      <c r="K783" t="s">
        <v>33</v>
      </c>
      <c r="L783" t="str">
        <f t="shared" si="24"/>
        <v>Jun</v>
      </c>
      <c r="M783" t="str">
        <f t="shared" si="25"/>
        <v>Wednesday</v>
      </c>
    </row>
    <row r="784" spans="1:13">
      <c r="A784" t="s">
        <v>1026</v>
      </c>
      <c r="B784" t="s">
        <v>210</v>
      </c>
      <c r="C784" t="s">
        <v>162</v>
      </c>
      <c r="D784" t="s">
        <v>29</v>
      </c>
      <c r="E784">
        <v>1799</v>
      </c>
      <c r="F784">
        <v>4</v>
      </c>
      <c r="G784">
        <v>7196</v>
      </c>
      <c r="H784" t="s">
        <v>30</v>
      </c>
      <c r="I784" t="s">
        <v>63</v>
      </c>
      <c r="J784" t="s">
        <v>32</v>
      </c>
      <c r="K784" t="s">
        <v>18</v>
      </c>
      <c r="L784" t="str">
        <f t="shared" si="24"/>
        <v>Apr</v>
      </c>
      <c r="M784" t="str">
        <f t="shared" si="25"/>
        <v>Wednesday</v>
      </c>
    </row>
    <row r="785" spans="1:13">
      <c r="A785" t="s">
        <v>1027</v>
      </c>
      <c r="B785" t="s">
        <v>231</v>
      </c>
      <c r="C785" t="s">
        <v>28</v>
      </c>
      <c r="D785" t="s">
        <v>29</v>
      </c>
      <c r="E785">
        <v>1299</v>
      </c>
      <c r="F785">
        <v>5</v>
      </c>
      <c r="G785">
        <v>6495</v>
      </c>
      <c r="H785" t="s">
        <v>15</v>
      </c>
      <c r="I785" t="s">
        <v>105</v>
      </c>
      <c r="J785" t="s">
        <v>90</v>
      </c>
      <c r="K785" t="s">
        <v>18</v>
      </c>
      <c r="L785" t="str">
        <f t="shared" si="24"/>
        <v>May</v>
      </c>
      <c r="M785" t="str">
        <f t="shared" si="25"/>
        <v>Saturday</v>
      </c>
    </row>
    <row r="786" spans="1:13">
      <c r="A786" t="s">
        <v>1028</v>
      </c>
      <c r="B786" t="s">
        <v>65</v>
      </c>
      <c r="C786" t="s">
        <v>52</v>
      </c>
      <c r="D786" t="s">
        <v>53</v>
      </c>
      <c r="E786">
        <v>199</v>
      </c>
      <c r="F786">
        <v>1</v>
      </c>
      <c r="G786">
        <v>199</v>
      </c>
      <c r="H786" t="s">
        <v>66</v>
      </c>
      <c r="I786" t="s">
        <v>57</v>
      </c>
      <c r="J786" t="s">
        <v>32</v>
      </c>
      <c r="K786" t="s">
        <v>33</v>
      </c>
      <c r="L786" t="str">
        <f t="shared" si="24"/>
        <v>Jan</v>
      </c>
      <c r="M786" t="str">
        <f t="shared" si="25"/>
        <v>Thursday</v>
      </c>
    </row>
    <row r="787" spans="1:13">
      <c r="A787" t="s">
        <v>1029</v>
      </c>
      <c r="B787" t="s">
        <v>27</v>
      </c>
      <c r="C787" t="s">
        <v>48</v>
      </c>
      <c r="D787" t="s">
        <v>49</v>
      </c>
      <c r="E787">
        <v>699</v>
      </c>
      <c r="F787">
        <v>2</v>
      </c>
      <c r="G787">
        <v>1398</v>
      </c>
      <c r="H787" t="s">
        <v>37</v>
      </c>
      <c r="I787" t="s">
        <v>125</v>
      </c>
      <c r="J787" t="s">
        <v>17</v>
      </c>
      <c r="K787" t="s">
        <v>18</v>
      </c>
      <c r="L787" t="str">
        <f t="shared" si="24"/>
        <v>Jun</v>
      </c>
      <c r="M787" t="str">
        <f t="shared" si="25"/>
        <v>Saturday</v>
      </c>
    </row>
    <row r="788" spans="1:13">
      <c r="A788" t="s">
        <v>1030</v>
      </c>
      <c r="B788" t="s">
        <v>340</v>
      </c>
      <c r="C788" t="s">
        <v>60</v>
      </c>
      <c r="D788" t="s">
        <v>61</v>
      </c>
      <c r="E788">
        <v>899</v>
      </c>
      <c r="F788">
        <v>5</v>
      </c>
      <c r="G788">
        <v>4495</v>
      </c>
      <c r="H788" t="s">
        <v>66</v>
      </c>
      <c r="I788" t="s">
        <v>31</v>
      </c>
      <c r="J788" t="s">
        <v>25</v>
      </c>
      <c r="K788" t="s">
        <v>18</v>
      </c>
      <c r="L788" t="str">
        <f t="shared" si="24"/>
        <v>May</v>
      </c>
      <c r="M788" t="str">
        <f t="shared" si="25"/>
        <v>Saturday</v>
      </c>
    </row>
    <row r="789" spans="1:13">
      <c r="A789" t="s">
        <v>1031</v>
      </c>
      <c r="B789" t="s">
        <v>255</v>
      </c>
      <c r="C789" t="s">
        <v>28</v>
      </c>
      <c r="D789" t="s">
        <v>29</v>
      </c>
      <c r="E789">
        <v>1299</v>
      </c>
      <c r="F789">
        <v>2</v>
      </c>
      <c r="G789">
        <v>2598</v>
      </c>
      <c r="H789" t="s">
        <v>15</v>
      </c>
      <c r="I789" t="s">
        <v>63</v>
      </c>
      <c r="J789" t="s">
        <v>32</v>
      </c>
      <c r="K789" t="s">
        <v>18</v>
      </c>
      <c r="L789" t="str">
        <f t="shared" si="24"/>
        <v>Mar</v>
      </c>
      <c r="M789" t="str">
        <f t="shared" si="25"/>
        <v>Thursday</v>
      </c>
    </row>
    <row r="790" spans="1:13">
      <c r="A790" t="s">
        <v>1032</v>
      </c>
      <c r="B790" t="s">
        <v>356</v>
      </c>
      <c r="C790" t="s">
        <v>21</v>
      </c>
      <c r="D790" t="s">
        <v>22</v>
      </c>
      <c r="E790">
        <v>1499</v>
      </c>
      <c r="F790">
        <v>5</v>
      </c>
      <c r="G790">
        <v>7495</v>
      </c>
      <c r="H790" t="s">
        <v>43</v>
      </c>
      <c r="I790" t="s">
        <v>125</v>
      </c>
      <c r="J790" t="s">
        <v>38</v>
      </c>
      <c r="K790" t="s">
        <v>18</v>
      </c>
      <c r="L790" t="str">
        <f t="shared" si="24"/>
        <v>Feb</v>
      </c>
      <c r="M790" t="str">
        <f t="shared" si="25"/>
        <v>Wednesday</v>
      </c>
    </row>
    <row r="791" spans="1:13">
      <c r="A791" t="s">
        <v>1033</v>
      </c>
      <c r="B791" t="s">
        <v>450</v>
      </c>
      <c r="C791" t="s">
        <v>70</v>
      </c>
      <c r="D791" t="s">
        <v>29</v>
      </c>
      <c r="E791">
        <v>799</v>
      </c>
      <c r="F791">
        <v>5</v>
      </c>
      <c r="G791">
        <v>3995</v>
      </c>
      <c r="H791" t="s">
        <v>119</v>
      </c>
      <c r="I791" t="s">
        <v>44</v>
      </c>
      <c r="J791" t="s">
        <v>17</v>
      </c>
      <c r="K791" t="s">
        <v>45</v>
      </c>
      <c r="L791" t="str">
        <f t="shared" si="24"/>
        <v>Jan</v>
      </c>
      <c r="M791" t="str">
        <f t="shared" si="25"/>
        <v>Saturday</v>
      </c>
    </row>
    <row r="792" spans="1:13">
      <c r="A792" t="s">
        <v>1034</v>
      </c>
      <c r="B792" t="s">
        <v>598</v>
      </c>
      <c r="C792" t="s">
        <v>48</v>
      </c>
      <c r="D792" t="s">
        <v>49</v>
      </c>
      <c r="E792">
        <v>699</v>
      </c>
      <c r="F792">
        <v>1</v>
      </c>
      <c r="G792">
        <v>699</v>
      </c>
      <c r="H792" t="s">
        <v>23</v>
      </c>
      <c r="I792" t="s">
        <v>57</v>
      </c>
      <c r="J792" t="s">
        <v>90</v>
      </c>
      <c r="K792" t="s">
        <v>18</v>
      </c>
      <c r="L792" t="str">
        <f t="shared" si="24"/>
        <v>Jun</v>
      </c>
      <c r="M792" t="str">
        <f t="shared" si="25"/>
        <v>Thursday</v>
      </c>
    </row>
    <row r="793" spans="1:13">
      <c r="A793" t="s">
        <v>1035</v>
      </c>
      <c r="B793" t="s">
        <v>375</v>
      </c>
      <c r="C793" t="s">
        <v>122</v>
      </c>
      <c r="D793" t="s">
        <v>29</v>
      </c>
      <c r="E793">
        <v>1299</v>
      </c>
      <c r="F793">
        <v>1</v>
      </c>
      <c r="G793">
        <v>1299</v>
      </c>
      <c r="H793" t="s">
        <v>30</v>
      </c>
      <c r="I793" t="s">
        <v>67</v>
      </c>
      <c r="J793" t="s">
        <v>90</v>
      </c>
      <c r="K793" t="s">
        <v>33</v>
      </c>
      <c r="L793" t="str">
        <f t="shared" si="24"/>
        <v>Jan</v>
      </c>
      <c r="M793" t="str">
        <f t="shared" si="25"/>
        <v>Thursday</v>
      </c>
    </row>
    <row r="794" spans="1:13">
      <c r="A794" t="s">
        <v>1036</v>
      </c>
      <c r="B794" t="s">
        <v>217</v>
      </c>
      <c r="C794" t="s">
        <v>76</v>
      </c>
      <c r="D794" t="s">
        <v>49</v>
      </c>
      <c r="E794">
        <v>1599</v>
      </c>
      <c r="F794">
        <v>3</v>
      </c>
      <c r="G794">
        <v>4797</v>
      </c>
      <c r="H794" t="s">
        <v>89</v>
      </c>
      <c r="I794" t="s">
        <v>98</v>
      </c>
      <c r="J794" t="s">
        <v>90</v>
      </c>
      <c r="K794" t="s">
        <v>18</v>
      </c>
      <c r="L794" t="str">
        <f t="shared" si="24"/>
        <v>Jun</v>
      </c>
      <c r="M794" t="str">
        <f t="shared" si="25"/>
        <v>Sunday</v>
      </c>
    </row>
    <row r="795" spans="1:13">
      <c r="A795" t="s">
        <v>1037</v>
      </c>
      <c r="B795" t="s">
        <v>132</v>
      </c>
      <c r="C795" t="s">
        <v>80</v>
      </c>
      <c r="D795" t="s">
        <v>81</v>
      </c>
      <c r="E795">
        <v>299</v>
      </c>
      <c r="F795">
        <v>3</v>
      </c>
      <c r="G795">
        <v>897</v>
      </c>
      <c r="H795" t="s">
        <v>89</v>
      </c>
      <c r="I795" t="s">
        <v>105</v>
      </c>
      <c r="J795" t="s">
        <v>32</v>
      </c>
      <c r="K795" t="s">
        <v>45</v>
      </c>
      <c r="L795" t="str">
        <f t="shared" si="24"/>
        <v>Mar</v>
      </c>
      <c r="M795" t="str">
        <f t="shared" si="25"/>
        <v>Friday</v>
      </c>
    </row>
    <row r="796" spans="1:13">
      <c r="A796" t="s">
        <v>1038</v>
      </c>
      <c r="B796" t="s">
        <v>139</v>
      </c>
      <c r="C796" t="s">
        <v>52</v>
      </c>
      <c r="D796" t="s">
        <v>53</v>
      </c>
      <c r="E796">
        <v>199</v>
      </c>
      <c r="F796">
        <v>1</v>
      </c>
      <c r="G796">
        <v>199</v>
      </c>
      <c r="H796" t="s">
        <v>15</v>
      </c>
      <c r="I796" t="s">
        <v>24</v>
      </c>
      <c r="J796" t="s">
        <v>38</v>
      </c>
      <c r="K796" t="s">
        <v>18</v>
      </c>
      <c r="L796" t="str">
        <f t="shared" si="24"/>
        <v>Mar</v>
      </c>
      <c r="M796" t="str">
        <f t="shared" si="25"/>
        <v>Saturday</v>
      </c>
    </row>
    <row r="797" spans="1:13">
      <c r="A797" t="s">
        <v>1039</v>
      </c>
      <c r="B797" t="s">
        <v>662</v>
      </c>
      <c r="C797" t="s">
        <v>13</v>
      </c>
      <c r="D797" t="s">
        <v>14</v>
      </c>
      <c r="E797">
        <v>2499</v>
      </c>
      <c r="F797">
        <v>1</v>
      </c>
      <c r="G797">
        <v>2499</v>
      </c>
      <c r="H797" t="s">
        <v>102</v>
      </c>
      <c r="I797" t="s">
        <v>57</v>
      </c>
      <c r="J797" t="s">
        <v>17</v>
      </c>
      <c r="K797" t="s">
        <v>18</v>
      </c>
      <c r="L797" t="str">
        <f t="shared" si="24"/>
        <v>Jun</v>
      </c>
      <c r="M797" t="str">
        <f t="shared" si="25"/>
        <v>Wednesday</v>
      </c>
    </row>
    <row r="798" spans="1:13">
      <c r="A798" t="s">
        <v>1040</v>
      </c>
      <c r="B798" t="s">
        <v>255</v>
      </c>
      <c r="C798" t="s">
        <v>36</v>
      </c>
      <c r="D798" t="s">
        <v>29</v>
      </c>
      <c r="E798">
        <v>1999</v>
      </c>
      <c r="F798">
        <v>1</v>
      </c>
      <c r="G798">
        <v>1999</v>
      </c>
      <c r="H798" t="s">
        <v>89</v>
      </c>
      <c r="I798" t="s">
        <v>57</v>
      </c>
      <c r="J798" t="s">
        <v>90</v>
      </c>
      <c r="K798" t="s">
        <v>45</v>
      </c>
      <c r="L798" t="str">
        <f t="shared" si="24"/>
        <v>Mar</v>
      </c>
      <c r="M798" t="str">
        <f t="shared" si="25"/>
        <v>Thursday</v>
      </c>
    </row>
    <row r="799" spans="1:13">
      <c r="A799" t="s">
        <v>1041</v>
      </c>
      <c r="B799" t="s">
        <v>329</v>
      </c>
      <c r="C799" t="s">
        <v>13</v>
      </c>
      <c r="D799" t="s">
        <v>14</v>
      </c>
      <c r="E799">
        <v>2499</v>
      </c>
      <c r="F799">
        <v>5</v>
      </c>
      <c r="G799">
        <v>12495</v>
      </c>
      <c r="H799" t="s">
        <v>119</v>
      </c>
      <c r="I799" t="s">
        <v>77</v>
      </c>
      <c r="J799" t="s">
        <v>17</v>
      </c>
      <c r="K799" t="s">
        <v>33</v>
      </c>
      <c r="L799" t="str">
        <f t="shared" si="24"/>
        <v>May</v>
      </c>
      <c r="M799" t="str">
        <f t="shared" si="25"/>
        <v>Sunday</v>
      </c>
    </row>
    <row r="800" spans="1:13">
      <c r="A800" t="s">
        <v>1042</v>
      </c>
      <c r="B800" t="s">
        <v>255</v>
      </c>
      <c r="C800" t="s">
        <v>60</v>
      </c>
      <c r="D800" t="s">
        <v>61</v>
      </c>
      <c r="E800">
        <v>899</v>
      </c>
      <c r="F800">
        <v>1</v>
      </c>
      <c r="G800">
        <v>899</v>
      </c>
      <c r="H800" t="s">
        <v>95</v>
      </c>
      <c r="I800" t="s">
        <v>82</v>
      </c>
      <c r="J800" t="s">
        <v>38</v>
      </c>
      <c r="K800" t="s">
        <v>33</v>
      </c>
      <c r="L800" t="str">
        <f t="shared" si="24"/>
        <v>Mar</v>
      </c>
      <c r="M800" t="str">
        <f t="shared" si="25"/>
        <v>Thursday</v>
      </c>
    </row>
    <row r="801" spans="1:13">
      <c r="A801" t="s">
        <v>1043</v>
      </c>
      <c r="B801" t="s">
        <v>487</v>
      </c>
      <c r="C801" t="s">
        <v>87</v>
      </c>
      <c r="D801" t="s">
        <v>88</v>
      </c>
      <c r="E801">
        <v>5499</v>
      </c>
      <c r="F801">
        <v>1</v>
      </c>
      <c r="G801">
        <v>5499</v>
      </c>
      <c r="H801" t="s">
        <v>95</v>
      </c>
      <c r="I801" t="s">
        <v>105</v>
      </c>
      <c r="J801" t="s">
        <v>25</v>
      </c>
      <c r="K801" t="s">
        <v>18</v>
      </c>
      <c r="L801" t="str">
        <f t="shared" si="24"/>
        <v>Apr</v>
      </c>
      <c r="M801" t="str">
        <f t="shared" si="25"/>
        <v>Monday</v>
      </c>
    </row>
    <row r="802" spans="1:13">
      <c r="A802" t="s">
        <v>1044</v>
      </c>
      <c r="B802" t="s">
        <v>310</v>
      </c>
      <c r="C802" t="s">
        <v>162</v>
      </c>
      <c r="D802" t="s">
        <v>29</v>
      </c>
      <c r="E802">
        <v>1799</v>
      </c>
      <c r="F802">
        <v>2</v>
      </c>
      <c r="G802">
        <v>3598</v>
      </c>
      <c r="H802" t="s">
        <v>157</v>
      </c>
      <c r="I802" t="s">
        <v>63</v>
      </c>
      <c r="J802" t="s">
        <v>32</v>
      </c>
      <c r="K802" t="s">
        <v>18</v>
      </c>
      <c r="L802" t="str">
        <f t="shared" si="24"/>
        <v>Feb</v>
      </c>
      <c r="M802" t="str">
        <f t="shared" si="25"/>
        <v>Sunday</v>
      </c>
    </row>
    <row r="803" spans="1:13">
      <c r="A803" t="s">
        <v>1045</v>
      </c>
      <c r="B803" t="s">
        <v>413</v>
      </c>
      <c r="C803" t="s">
        <v>36</v>
      </c>
      <c r="D803" t="s">
        <v>29</v>
      </c>
      <c r="E803">
        <v>1999</v>
      </c>
      <c r="F803">
        <v>3</v>
      </c>
      <c r="G803">
        <v>5997</v>
      </c>
      <c r="H803" t="s">
        <v>43</v>
      </c>
      <c r="I803" t="s">
        <v>31</v>
      </c>
      <c r="J803" t="s">
        <v>25</v>
      </c>
      <c r="K803" t="s">
        <v>18</v>
      </c>
      <c r="L803" t="str">
        <f t="shared" si="24"/>
        <v>Apr</v>
      </c>
      <c r="M803" t="str">
        <f t="shared" si="25"/>
        <v>Thursday</v>
      </c>
    </row>
    <row r="804" spans="1:13">
      <c r="A804" t="s">
        <v>1046</v>
      </c>
      <c r="B804" t="s">
        <v>598</v>
      </c>
      <c r="C804" t="s">
        <v>36</v>
      </c>
      <c r="D804" t="s">
        <v>29</v>
      </c>
      <c r="E804">
        <v>1999</v>
      </c>
      <c r="F804">
        <v>5</v>
      </c>
      <c r="G804">
        <v>9995</v>
      </c>
      <c r="H804" t="s">
        <v>186</v>
      </c>
      <c r="I804" t="s">
        <v>125</v>
      </c>
      <c r="J804" t="s">
        <v>17</v>
      </c>
      <c r="K804" t="s">
        <v>18</v>
      </c>
      <c r="L804" t="str">
        <f t="shared" si="24"/>
        <v>Jun</v>
      </c>
      <c r="M804" t="str">
        <f t="shared" si="25"/>
        <v>Thursday</v>
      </c>
    </row>
    <row r="805" spans="1:13">
      <c r="A805" t="s">
        <v>1047</v>
      </c>
      <c r="B805" t="s">
        <v>215</v>
      </c>
      <c r="C805" t="s">
        <v>76</v>
      </c>
      <c r="D805" t="s">
        <v>49</v>
      </c>
      <c r="E805">
        <v>1599</v>
      </c>
      <c r="F805">
        <v>5</v>
      </c>
      <c r="G805">
        <v>7995</v>
      </c>
      <c r="H805" t="s">
        <v>66</v>
      </c>
      <c r="I805" t="s">
        <v>24</v>
      </c>
      <c r="J805" t="s">
        <v>38</v>
      </c>
      <c r="K805" t="s">
        <v>18</v>
      </c>
      <c r="L805" t="str">
        <f t="shared" si="24"/>
        <v>Jan</v>
      </c>
      <c r="M805" t="str">
        <f t="shared" si="25"/>
        <v>Saturday</v>
      </c>
    </row>
    <row r="806" spans="1:13">
      <c r="A806" t="s">
        <v>1048</v>
      </c>
      <c r="B806" t="s">
        <v>279</v>
      </c>
      <c r="C806" t="s">
        <v>21</v>
      </c>
      <c r="D806" t="s">
        <v>22</v>
      </c>
      <c r="E806">
        <v>1499</v>
      </c>
      <c r="F806">
        <v>1</v>
      </c>
      <c r="G806">
        <v>1499</v>
      </c>
      <c r="H806" t="s">
        <v>119</v>
      </c>
      <c r="I806" t="s">
        <v>44</v>
      </c>
      <c r="J806" t="s">
        <v>25</v>
      </c>
      <c r="K806" t="s">
        <v>18</v>
      </c>
      <c r="L806" t="str">
        <f t="shared" si="24"/>
        <v>May</v>
      </c>
      <c r="M806" t="str">
        <f t="shared" si="25"/>
        <v>Sunday</v>
      </c>
    </row>
    <row r="807" spans="1:13">
      <c r="A807" t="s">
        <v>1049</v>
      </c>
      <c r="B807" t="s">
        <v>379</v>
      </c>
      <c r="C807" t="s">
        <v>87</v>
      </c>
      <c r="D807" t="s">
        <v>88</v>
      </c>
      <c r="E807">
        <v>5499</v>
      </c>
      <c r="F807">
        <v>2</v>
      </c>
      <c r="G807">
        <v>10998</v>
      </c>
      <c r="H807" t="s">
        <v>119</v>
      </c>
      <c r="I807" t="s">
        <v>16</v>
      </c>
      <c r="J807" t="s">
        <v>25</v>
      </c>
      <c r="K807" t="s">
        <v>18</v>
      </c>
      <c r="L807" t="str">
        <f t="shared" si="24"/>
        <v>Jun</v>
      </c>
      <c r="M807" t="str">
        <f t="shared" si="25"/>
        <v>Friday</v>
      </c>
    </row>
    <row r="808" spans="1:13">
      <c r="A808" t="s">
        <v>1050</v>
      </c>
      <c r="B808" t="s">
        <v>709</v>
      </c>
      <c r="C808" t="s">
        <v>70</v>
      </c>
      <c r="D808" t="s">
        <v>29</v>
      </c>
      <c r="E808">
        <v>799</v>
      </c>
      <c r="F808">
        <v>5</v>
      </c>
      <c r="G808">
        <v>3995</v>
      </c>
      <c r="H808" t="s">
        <v>71</v>
      </c>
      <c r="I808" t="s">
        <v>31</v>
      </c>
      <c r="J808" t="s">
        <v>38</v>
      </c>
      <c r="K808" t="s">
        <v>18</v>
      </c>
      <c r="L808" t="str">
        <f t="shared" si="24"/>
        <v>Apr</v>
      </c>
      <c r="M808" t="str">
        <f t="shared" si="25"/>
        <v>Friday</v>
      </c>
    </row>
    <row r="809" spans="1:13">
      <c r="A809" t="s">
        <v>1051</v>
      </c>
      <c r="B809" t="s">
        <v>111</v>
      </c>
      <c r="C809" t="s">
        <v>28</v>
      </c>
      <c r="D809" t="s">
        <v>29</v>
      </c>
      <c r="E809">
        <v>1299</v>
      </c>
      <c r="F809">
        <v>3</v>
      </c>
      <c r="G809">
        <v>3897</v>
      </c>
      <c r="H809" t="s">
        <v>186</v>
      </c>
      <c r="I809" t="s">
        <v>57</v>
      </c>
      <c r="J809" t="s">
        <v>17</v>
      </c>
      <c r="K809" t="s">
        <v>33</v>
      </c>
      <c r="L809" t="str">
        <f t="shared" si="24"/>
        <v>Apr</v>
      </c>
      <c r="M809" t="str">
        <f t="shared" si="25"/>
        <v>Sunday</v>
      </c>
    </row>
    <row r="810" spans="1:13">
      <c r="A810" t="s">
        <v>1052</v>
      </c>
      <c r="B810" t="s">
        <v>508</v>
      </c>
      <c r="C810" t="s">
        <v>21</v>
      </c>
      <c r="D810" t="s">
        <v>22</v>
      </c>
      <c r="E810">
        <v>1499</v>
      </c>
      <c r="F810">
        <v>2</v>
      </c>
      <c r="G810">
        <v>2998</v>
      </c>
      <c r="H810" t="s">
        <v>186</v>
      </c>
      <c r="I810" t="s">
        <v>82</v>
      </c>
      <c r="J810" t="s">
        <v>17</v>
      </c>
      <c r="K810" t="s">
        <v>18</v>
      </c>
      <c r="L810" t="str">
        <f t="shared" si="24"/>
        <v>May</v>
      </c>
      <c r="M810" t="str">
        <f t="shared" si="25"/>
        <v>Thursday</v>
      </c>
    </row>
    <row r="811" spans="1:13">
      <c r="A811" t="s">
        <v>1053</v>
      </c>
      <c r="B811" t="s">
        <v>450</v>
      </c>
      <c r="C811" t="s">
        <v>135</v>
      </c>
      <c r="D811" t="s">
        <v>29</v>
      </c>
      <c r="E811">
        <v>3999</v>
      </c>
      <c r="F811">
        <v>1</v>
      </c>
      <c r="G811">
        <v>3999</v>
      </c>
      <c r="H811" t="s">
        <v>30</v>
      </c>
      <c r="I811" t="s">
        <v>44</v>
      </c>
      <c r="J811" t="s">
        <v>32</v>
      </c>
      <c r="K811" t="s">
        <v>18</v>
      </c>
      <c r="L811" t="str">
        <f t="shared" si="24"/>
        <v>Jan</v>
      </c>
      <c r="M811" t="str">
        <f t="shared" si="25"/>
        <v>Saturday</v>
      </c>
    </row>
    <row r="812" spans="1:13">
      <c r="A812" t="s">
        <v>1054</v>
      </c>
      <c r="B812" t="s">
        <v>358</v>
      </c>
      <c r="C812" t="s">
        <v>48</v>
      </c>
      <c r="D812" t="s">
        <v>49</v>
      </c>
      <c r="E812">
        <v>699</v>
      </c>
      <c r="F812">
        <v>5</v>
      </c>
      <c r="G812">
        <v>3495</v>
      </c>
      <c r="H812" t="s">
        <v>66</v>
      </c>
      <c r="I812" t="s">
        <v>44</v>
      </c>
      <c r="J812" t="s">
        <v>17</v>
      </c>
      <c r="K812" t="s">
        <v>18</v>
      </c>
      <c r="L812" t="str">
        <f t="shared" si="24"/>
        <v>Feb</v>
      </c>
      <c r="M812" t="str">
        <f t="shared" si="25"/>
        <v>Monday</v>
      </c>
    </row>
    <row r="813" spans="1:13">
      <c r="A813" t="s">
        <v>1055</v>
      </c>
      <c r="B813" t="s">
        <v>662</v>
      </c>
      <c r="C813" t="s">
        <v>60</v>
      </c>
      <c r="D813" t="s">
        <v>61</v>
      </c>
      <c r="E813">
        <v>899</v>
      </c>
      <c r="F813">
        <v>5</v>
      </c>
      <c r="G813">
        <v>4495</v>
      </c>
      <c r="H813" t="s">
        <v>62</v>
      </c>
      <c r="I813" t="s">
        <v>31</v>
      </c>
      <c r="J813" t="s">
        <v>90</v>
      </c>
      <c r="K813" t="s">
        <v>18</v>
      </c>
      <c r="L813" t="str">
        <f t="shared" si="24"/>
        <v>Jun</v>
      </c>
      <c r="M813" t="str">
        <f t="shared" si="25"/>
        <v>Wednesday</v>
      </c>
    </row>
    <row r="814" spans="1:13">
      <c r="A814" t="s">
        <v>1056</v>
      </c>
      <c r="B814" t="s">
        <v>434</v>
      </c>
      <c r="C814" t="s">
        <v>13</v>
      </c>
      <c r="D814" t="s">
        <v>14</v>
      </c>
      <c r="E814">
        <v>2499</v>
      </c>
      <c r="F814">
        <v>5</v>
      </c>
      <c r="G814">
        <v>12495</v>
      </c>
      <c r="H814" t="s">
        <v>66</v>
      </c>
      <c r="I814" t="s">
        <v>57</v>
      </c>
      <c r="J814" t="s">
        <v>90</v>
      </c>
      <c r="K814" t="s">
        <v>33</v>
      </c>
      <c r="L814" t="str">
        <f t="shared" si="24"/>
        <v>Mar</v>
      </c>
      <c r="M814" t="str">
        <f t="shared" si="25"/>
        <v>Friday</v>
      </c>
    </row>
    <row r="815" spans="1:13">
      <c r="A815" t="s">
        <v>1057</v>
      </c>
      <c r="B815" t="s">
        <v>65</v>
      </c>
      <c r="C815" t="s">
        <v>28</v>
      </c>
      <c r="D815" t="s">
        <v>29</v>
      </c>
      <c r="E815">
        <v>1299</v>
      </c>
      <c r="F815">
        <v>3</v>
      </c>
      <c r="G815">
        <v>3897</v>
      </c>
      <c r="H815" t="s">
        <v>71</v>
      </c>
      <c r="I815" t="s">
        <v>67</v>
      </c>
      <c r="J815" t="s">
        <v>32</v>
      </c>
      <c r="K815" t="s">
        <v>18</v>
      </c>
      <c r="L815" t="str">
        <f t="shared" si="24"/>
        <v>Jan</v>
      </c>
      <c r="M815" t="str">
        <f t="shared" si="25"/>
        <v>Thursday</v>
      </c>
    </row>
    <row r="816" spans="1:13">
      <c r="A816" t="s">
        <v>1058</v>
      </c>
      <c r="B816" t="s">
        <v>389</v>
      </c>
      <c r="C816" t="s">
        <v>87</v>
      </c>
      <c r="D816" t="s">
        <v>88</v>
      </c>
      <c r="E816">
        <v>5499</v>
      </c>
      <c r="F816">
        <v>4</v>
      </c>
      <c r="G816">
        <v>21996</v>
      </c>
      <c r="H816" t="s">
        <v>43</v>
      </c>
      <c r="I816" t="s">
        <v>98</v>
      </c>
      <c r="J816" t="s">
        <v>17</v>
      </c>
      <c r="K816" t="s">
        <v>18</v>
      </c>
      <c r="L816" t="str">
        <f t="shared" si="24"/>
        <v>Jun</v>
      </c>
      <c r="M816" t="str">
        <f t="shared" si="25"/>
        <v>Tuesday</v>
      </c>
    </row>
    <row r="817" spans="1:13">
      <c r="A817" t="s">
        <v>1059</v>
      </c>
      <c r="B817" t="s">
        <v>657</v>
      </c>
      <c r="C817" t="s">
        <v>70</v>
      </c>
      <c r="D817" t="s">
        <v>29</v>
      </c>
      <c r="E817">
        <v>799</v>
      </c>
      <c r="F817">
        <v>4</v>
      </c>
      <c r="G817">
        <v>3196</v>
      </c>
      <c r="H817" t="s">
        <v>15</v>
      </c>
      <c r="I817" t="s">
        <v>44</v>
      </c>
      <c r="J817" t="s">
        <v>17</v>
      </c>
      <c r="K817" t="s">
        <v>18</v>
      </c>
      <c r="L817" t="str">
        <f t="shared" si="24"/>
        <v>Jan</v>
      </c>
      <c r="M817" t="str">
        <f t="shared" si="25"/>
        <v>Friday</v>
      </c>
    </row>
    <row r="818" spans="1:13">
      <c r="A818" t="s">
        <v>1060</v>
      </c>
      <c r="B818" t="s">
        <v>316</v>
      </c>
      <c r="C818" t="s">
        <v>162</v>
      </c>
      <c r="D818" t="s">
        <v>29</v>
      </c>
      <c r="E818">
        <v>1799</v>
      </c>
      <c r="F818">
        <v>1</v>
      </c>
      <c r="G818">
        <v>1799</v>
      </c>
      <c r="H818" t="s">
        <v>119</v>
      </c>
      <c r="I818" t="s">
        <v>67</v>
      </c>
      <c r="J818" t="s">
        <v>90</v>
      </c>
      <c r="K818" t="s">
        <v>18</v>
      </c>
      <c r="L818" t="str">
        <f t="shared" si="24"/>
        <v>Mar</v>
      </c>
      <c r="M818" t="str">
        <f t="shared" si="25"/>
        <v>Wednesday</v>
      </c>
    </row>
    <row r="819" spans="1:13">
      <c r="A819" t="s">
        <v>1061</v>
      </c>
      <c r="B819" t="s">
        <v>494</v>
      </c>
      <c r="C819" t="s">
        <v>80</v>
      </c>
      <c r="D819" t="s">
        <v>81</v>
      </c>
      <c r="E819">
        <v>299</v>
      </c>
      <c r="F819">
        <v>2</v>
      </c>
      <c r="G819">
        <v>598</v>
      </c>
      <c r="H819" t="s">
        <v>23</v>
      </c>
      <c r="I819" t="s">
        <v>67</v>
      </c>
      <c r="J819" t="s">
        <v>90</v>
      </c>
      <c r="K819" t="s">
        <v>33</v>
      </c>
      <c r="L819" t="str">
        <f t="shared" si="24"/>
        <v>Mar</v>
      </c>
      <c r="M819" t="str">
        <f t="shared" si="25"/>
        <v>Sunday</v>
      </c>
    </row>
    <row r="820" spans="1:13">
      <c r="A820" t="s">
        <v>1062</v>
      </c>
      <c r="B820" t="s">
        <v>150</v>
      </c>
      <c r="C820" t="s">
        <v>122</v>
      </c>
      <c r="D820" t="s">
        <v>29</v>
      </c>
      <c r="E820">
        <v>1299</v>
      </c>
      <c r="F820">
        <v>4</v>
      </c>
      <c r="G820">
        <v>5196</v>
      </c>
      <c r="H820" t="s">
        <v>66</v>
      </c>
      <c r="I820" t="s">
        <v>44</v>
      </c>
      <c r="J820" t="s">
        <v>90</v>
      </c>
      <c r="K820" t="s">
        <v>18</v>
      </c>
      <c r="L820" t="str">
        <f t="shared" si="24"/>
        <v>Feb</v>
      </c>
      <c r="M820" t="str">
        <f t="shared" si="25"/>
        <v>Sunday</v>
      </c>
    </row>
    <row r="821" spans="1:13">
      <c r="A821" t="s">
        <v>1063</v>
      </c>
      <c r="B821" t="s">
        <v>161</v>
      </c>
      <c r="C821" t="s">
        <v>13</v>
      </c>
      <c r="D821" t="s">
        <v>14</v>
      </c>
      <c r="E821">
        <v>2499</v>
      </c>
      <c r="F821">
        <v>5</v>
      </c>
      <c r="G821">
        <v>12495</v>
      </c>
      <c r="H821" t="s">
        <v>71</v>
      </c>
      <c r="I821" t="s">
        <v>67</v>
      </c>
      <c r="J821" t="s">
        <v>32</v>
      </c>
      <c r="K821" t="s">
        <v>18</v>
      </c>
      <c r="L821" t="str">
        <f t="shared" si="24"/>
        <v>Apr</v>
      </c>
      <c r="M821" t="str">
        <f t="shared" si="25"/>
        <v>Friday</v>
      </c>
    </row>
    <row r="822" spans="1:13">
      <c r="A822" t="s">
        <v>1064</v>
      </c>
      <c r="B822" t="s">
        <v>600</v>
      </c>
      <c r="C822" t="s">
        <v>122</v>
      </c>
      <c r="D822" t="s">
        <v>29</v>
      </c>
      <c r="E822">
        <v>1299</v>
      </c>
      <c r="F822">
        <v>5</v>
      </c>
      <c r="G822">
        <v>6495</v>
      </c>
      <c r="H822" t="s">
        <v>37</v>
      </c>
      <c r="I822" t="s">
        <v>125</v>
      </c>
      <c r="J822" t="s">
        <v>17</v>
      </c>
      <c r="K822" t="s">
        <v>33</v>
      </c>
      <c r="L822" t="str">
        <f t="shared" si="24"/>
        <v>Feb</v>
      </c>
      <c r="M822" t="str">
        <f t="shared" si="25"/>
        <v>Saturday</v>
      </c>
    </row>
    <row r="823" spans="1:13">
      <c r="A823" t="s">
        <v>1065</v>
      </c>
      <c r="B823" t="s">
        <v>379</v>
      </c>
      <c r="C823" t="s">
        <v>70</v>
      </c>
      <c r="D823" t="s">
        <v>29</v>
      </c>
      <c r="E823">
        <v>799</v>
      </c>
      <c r="F823">
        <v>3</v>
      </c>
      <c r="G823">
        <v>2397</v>
      </c>
      <c r="H823" t="s">
        <v>102</v>
      </c>
      <c r="I823" t="s">
        <v>98</v>
      </c>
      <c r="J823" t="s">
        <v>32</v>
      </c>
      <c r="K823" t="s">
        <v>18</v>
      </c>
      <c r="L823" t="str">
        <f t="shared" si="24"/>
        <v>Jun</v>
      </c>
      <c r="M823" t="str">
        <f t="shared" si="25"/>
        <v>Friday</v>
      </c>
    </row>
    <row r="824" spans="1:13">
      <c r="A824" t="s">
        <v>1066</v>
      </c>
      <c r="B824" t="s">
        <v>431</v>
      </c>
      <c r="C824" t="s">
        <v>80</v>
      </c>
      <c r="D824" t="s">
        <v>81</v>
      </c>
      <c r="E824">
        <v>299</v>
      </c>
      <c r="F824">
        <v>1</v>
      </c>
      <c r="G824">
        <v>299</v>
      </c>
      <c r="H824" t="s">
        <v>119</v>
      </c>
      <c r="I824" t="s">
        <v>57</v>
      </c>
      <c r="J824" t="s">
        <v>32</v>
      </c>
      <c r="K824" t="s">
        <v>18</v>
      </c>
      <c r="L824" t="str">
        <f t="shared" si="24"/>
        <v>Feb</v>
      </c>
      <c r="M824" t="str">
        <f t="shared" si="25"/>
        <v>Thursday</v>
      </c>
    </row>
    <row r="825" spans="1:13">
      <c r="A825" t="s">
        <v>1067</v>
      </c>
      <c r="B825" t="s">
        <v>212</v>
      </c>
      <c r="C825" t="s">
        <v>80</v>
      </c>
      <c r="D825" t="s">
        <v>81</v>
      </c>
      <c r="E825">
        <v>299</v>
      </c>
      <c r="F825">
        <v>4</v>
      </c>
      <c r="G825">
        <v>1196</v>
      </c>
      <c r="H825" t="s">
        <v>43</v>
      </c>
      <c r="I825" t="s">
        <v>98</v>
      </c>
      <c r="J825" t="s">
        <v>17</v>
      </c>
      <c r="K825" t="s">
        <v>18</v>
      </c>
      <c r="L825" t="str">
        <f t="shared" si="24"/>
        <v>Mar</v>
      </c>
      <c r="M825" t="str">
        <f t="shared" si="25"/>
        <v>Monday</v>
      </c>
    </row>
    <row r="826" spans="1:13">
      <c r="A826" t="s">
        <v>1068</v>
      </c>
      <c r="B826" t="s">
        <v>227</v>
      </c>
      <c r="C826" t="s">
        <v>162</v>
      </c>
      <c r="D826" t="s">
        <v>29</v>
      </c>
      <c r="E826">
        <v>1799</v>
      </c>
      <c r="F826">
        <v>5</v>
      </c>
      <c r="G826">
        <v>8995</v>
      </c>
      <c r="H826" t="s">
        <v>23</v>
      </c>
      <c r="I826" t="s">
        <v>16</v>
      </c>
      <c r="J826" t="s">
        <v>17</v>
      </c>
      <c r="K826" t="s">
        <v>18</v>
      </c>
      <c r="L826" t="str">
        <f t="shared" si="24"/>
        <v>Jan</v>
      </c>
      <c r="M826" t="str">
        <f t="shared" si="25"/>
        <v>Sunday</v>
      </c>
    </row>
    <row r="827" spans="1:13">
      <c r="A827" t="s">
        <v>1069</v>
      </c>
      <c r="B827" t="s">
        <v>354</v>
      </c>
      <c r="C827" t="s">
        <v>135</v>
      </c>
      <c r="D827" t="s">
        <v>29</v>
      </c>
      <c r="E827">
        <v>3999</v>
      </c>
      <c r="F827">
        <v>3</v>
      </c>
      <c r="G827">
        <v>11997</v>
      </c>
      <c r="H827" t="s">
        <v>56</v>
      </c>
      <c r="I827" t="s">
        <v>63</v>
      </c>
      <c r="J827" t="s">
        <v>25</v>
      </c>
      <c r="K827" t="s">
        <v>18</v>
      </c>
      <c r="L827" t="str">
        <f t="shared" si="24"/>
        <v>May</v>
      </c>
      <c r="M827" t="str">
        <f t="shared" si="25"/>
        <v>Monday</v>
      </c>
    </row>
    <row r="828" spans="1:13">
      <c r="A828" t="s">
        <v>1070</v>
      </c>
      <c r="B828" t="s">
        <v>198</v>
      </c>
      <c r="C828" t="s">
        <v>48</v>
      </c>
      <c r="D828" t="s">
        <v>49</v>
      </c>
      <c r="E828">
        <v>699</v>
      </c>
      <c r="F828">
        <v>1</v>
      </c>
      <c r="G828">
        <v>699</v>
      </c>
      <c r="H828" t="s">
        <v>95</v>
      </c>
      <c r="I828" t="s">
        <v>67</v>
      </c>
      <c r="J828" t="s">
        <v>32</v>
      </c>
      <c r="K828" t="s">
        <v>18</v>
      </c>
      <c r="L828" t="str">
        <f t="shared" si="24"/>
        <v>May</v>
      </c>
      <c r="M828" t="str">
        <f t="shared" si="25"/>
        <v>Tuesday</v>
      </c>
    </row>
    <row r="829" spans="1:13">
      <c r="A829" t="s">
        <v>1071</v>
      </c>
      <c r="B829" t="s">
        <v>1072</v>
      </c>
      <c r="C829" t="s">
        <v>80</v>
      </c>
      <c r="D829" t="s">
        <v>81</v>
      </c>
      <c r="E829">
        <v>299</v>
      </c>
      <c r="F829">
        <v>5</v>
      </c>
      <c r="G829">
        <v>1495</v>
      </c>
      <c r="H829" t="s">
        <v>43</v>
      </c>
      <c r="I829" t="s">
        <v>125</v>
      </c>
      <c r="J829" t="s">
        <v>38</v>
      </c>
      <c r="K829" t="s">
        <v>45</v>
      </c>
      <c r="L829" t="str">
        <f t="shared" si="24"/>
        <v>Jun</v>
      </c>
      <c r="M829" t="str">
        <f t="shared" si="25"/>
        <v>Thursday</v>
      </c>
    </row>
    <row r="830" spans="1:13">
      <c r="A830" t="s">
        <v>1073</v>
      </c>
      <c r="B830" t="s">
        <v>59</v>
      </c>
      <c r="C830" t="s">
        <v>101</v>
      </c>
      <c r="D830" t="s">
        <v>81</v>
      </c>
      <c r="E830">
        <v>499</v>
      </c>
      <c r="F830">
        <v>1</v>
      </c>
      <c r="G830">
        <v>499</v>
      </c>
      <c r="H830" t="s">
        <v>157</v>
      </c>
      <c r="I830" t="s">
        <v>63</v>
      </c>
      <c r="J830" t="s">
        <v>25</v>
      </c>
      <c r="K830" t="s">
        <v>18</v>
      </c>
      <c r="L830" t="str">
        <f t="shared" si="24"/>
        <v>Apr</v>
      </c>
      <c r="M830" t="str">
        <f t="shared" si="25"/>
        <v>Monday</v>
      </c>
    </row>
    <row r="831" spans="1:13">
      <c r="A831" t="s">
        <v>1074</v>
      </c>
      <c r="B831" t="s">
        <v>431</v>
      </c>
      <c r="C831" t="s">
        <v>52</v>
      </c>
      <c r="D831" t="s">
        <v>53</v>
      </c>
      <c r="E831">
        <v>199</v>
      </c>
      <c r="F831">
        <v>3</v>
      </c>
      <c r="G831">
        <v>597</v>
      </c>
      <c r="H831" t="s">
        <v>62</v>
      </c>
      <c r="I831" t="s">
        <v>44</v>
      </c>
      <c r="J831" t="s">
        <v>25</v>
      </c>
      <c r="K831" t="s">
        <v>18</v>
      </c>
      <c r="L831" t="str">
        <f t="shared" si="24"/>
        <v>Feb</v>
      </c>
      <c r="M831" t="str">
        <f t="shared" si="25"/>
        <v>Thursday</v>
      </c>
    </row>
    <row r="832" spans="1:13">
      <c r="A832" t="s">
        <v>1075</v>
      </c>
      <c r="B832" t="s">
        <v>300</v>
      </c>
      <c r="C832" t="s">
        <v>52</v>
      </c>
      <c r="D832" t="s">
        <v>53</v>
      </c>
      <c r="E832">
        <v>199</v>
      </c>
      <c r="F832">
        <v>4</v>
      </c>
      <c r="G832">
        <v>796</v>
      </c>
      <c r="H832" t="s">
        <v>157</v>
      </c>
      <c r="I832" t="s">
        <v>16</v>
      </c>
      <c r="J832" t="s">
        <v>32</v>
      </c>
      <c r="K832" t="s">
        <v>18</v>
      </c>
      <c r="L832" t="str">
        <f t="shared" si="24"/>
        <v>Jan</v>
      </c>
      <c r="M832" t="str">
        <f t="shared" si="25"/>
        <v>Friday</v>
      </c>
    </row>
    <row r="833" spans="1:13">
      <c r="A833" t="s">
        <v>1076</v>
      </c>
      <c r="B833" t="s">
        <v>445</v>
      </c>
      <c r="C833" t="s">
        <v>162</v>
      </c>
      <c r="D833" t="s">
        <v>29</v>
      </c>
      <c r="E833">
        <v>1799</v>
      </c>
      <c r="F833">
        <v>5</v>
      </c>
      <c r="G833">
        <v>8995</v>
      </c>
      <c r="H833" t="s">
        <v>95</v>
      </c>
      <c r="I833" t="s">
        <v>67</v>
      </c>
      <c r="J833" t="s">
        <v>25</v>
      </c>
      <c r="K833" t="s">
        <v>18</v>
      </c>
      <c r="L833" t="str">
        <f t="shared" si="24"/>
        <v>May</v>
      </c>
      <c r="M833" t="str">
        <f t="shared" si="25"/>
        <v>Wednesday</v>
      </c>
    </row>
    <row r="834" spans="1:13">
      <c r="A834" t="s">
        <v>1077</v>
      </c>
      <c r="B834" t="s">
        <v>207</v>
      </c>
      <c r="C834" t="s">
        <v>162</v>
      </c>
      <c r="D834" t="s">
        <v>29</v>
      </c>
      <c r="E834">
        <v>1799</v>
      </c>
      <c r="F834">
        <v>1</v>
      </c>
      <c r="G834">
        <v>1799</v>
      </c>
      <c r="H834" t="s">
        <v>15</v>
      </c>
      <c r="I834" t="s">
        <v>98</v>
      </c>
      <c r="J834" t="s">
        <v>32</v>
      </c>
      <c r="K834" t="s">
        <v>33</v>
      </c>
      <c r="L834" t="str">
        <f t="shared" si="24"/>
        <v>Feb</v>
      </c>
      <c r="M834" t="str">
        <f t="shared" si="25"/>
        <v>Monday</v>
      </c>
    </row>
    <row r="835" spans="1:13">
      <c r="A835" t="s">
        <v>1078</v>
      </c>
      <c r="B835" t="s">
        <v>237</v>
      </c>
      <c r="C835" t="s">
        <v>135</v>
      </c>
      <c r="D835" t="s">
        <v>29</v>
      </c>
      <c r="E835">
        <v>3999</v>
      </c>
      <c r="F835">
        <v>1</v>
      </c>
      <c r="G835">
        <v>3999</v>
      </c>
      <c r="H835" t="s">
        <v>43</v>
      </c>
      <c r="I835" t="s">
        <v>67</v>
      </c>
      <c r="J835" t="s">
        <v>17</v>
      </c>
      <c r="K835" t="s">
        <v>18</v>
      </c>
      <c r="L835" t="str">
        <f t="shared" ref="L835:L898" si="26">TEXT(B835,"MMM")</f>
        <v>Jan</v>
      </c>
      <c r="M835" t="str">
        <f t="shared" ref="M835:M898" si="27">TEXT(B835,"dddd")</f>
        <v>Thursday</v>
      </c>
    </row>
    <row r="836" spans="1:13">
      <c r="A836" t="s">
        <v>1079</v>
      </c>
      <c r="B836" t="s">
        <v>124</v>
      </c>
      <c r="C836" t="s">
        <v>80</v>
      </c>
      <c r="D836" t="s">
        <v>81</v>
      </c>
      <c r="E836">
        <v>299</v>
      </c>
      <c r="F836">
        <v>1</v>
      </c>
      <c r="G836">
        <v>299</v>
      </c>
      <c r="H836" t="s">
        <v>37</v>
      </c>
      <c r="I836" t="s">
        <v>16</v>
      </c>
      <c r="J836" t="s">
        <v>38</v>
      </c>
      <c r="K836" t="s">
        <v>18</v>
      </c>
      <c r="L836" t="str">
        <f t="shared" si="26"/>
        <v>Jun</v>
      </c>
      <c r="M836" t="str">
        <f t="shared" si="27"/>
        <v>Tuesday</v>
      </c>
    </row>
    <row r="837" spans="1:13">
      <c r="A837" t="s">
        <v>1080</v>
      </c>
      <c r="B837" t="s">
        <v>100</v>
      </c>
      <c r="C837" t="s">
        <v>48</v>
      </c>
      <c r="D837" t="s">
        <v>49</v>
      </c>
      <c r="E837">
        <v>699</v>
      </c>
      <c r="F837">
        <v>5</v>
      </c>
      <c r="G837">
        <v>3495</v>
      </c>
      <c r="H837" t="s">
        <v>30</v>
      </c>
      <c r="I837" t="s">
        <v>24</v>
      </c>
      <c r="J837" t="s">
        <v>90</v>
      </c>
      <c r="K837" t="s">
        <v>45</v>
      </c>
      <c r="L837" t="str">
        <f t="shared" si="26"/>
        <v>Jan</v>
      </c>
      <c r="M837" t="str">
        <f t="shared" si="27"/>
        <v>Friday</v>
      </c>
    </row>
    <row r="838" spans="1:13">
      <c r="A838" t="s">
        <v>1081</v>
      </c>
      <c r="B838" t="s">
        <v>485</v>
      </c>
      <c r="C838" t="s">
        <v>60</v>
      </c>
      <c r="D838" t="s">
        <v>61</v>
      </c>
      <c r="E838">
        <v>899</v>
      </c>
      <c r="F838">
        <v>5</v>
      </c>
      <c r="G838">
        <v>4495</v>
      </c>
      <c r="H838" t="s">
        <v>30</v>
      </c>
      <c r="I838" t="s">
        <v>77</v>
      </c>
      <c r="J838" t="s">
        <v>90</v>
      </c>
      <c r="K838" t="s">
        <v>18</v>
      </c>
      <c r="L838" t="str">
        <f t="shared" si="26"/>
        <v>Jan</v>
      </c>
      <c r="M838" t="str">
        <f t="shared" si="27"/>
        <v>Sunday</v>
      </c>
    </row>
    <row r="839" spans="1:13">
      <c r="A839" t="s">
        <v>1082</v>
      </c>
      <c r="B839" t="s">
        <v>111</v>
      </c>
      <c r="C839" t="s">
        <v>101</v>
      </c>
      <c r="D839" t="s">
        <v>81</v>
      </c>
      <c r="E839">
        <v>499</v>
      </c>
      <c r="F839">
        <v>4</v>
      </c>
      <c r="G839">
        <v>1996</v>
      </c>
      <c r="H839" t="s">
        <v>119</v>
      </c>
      <c r="I839" t="s">
        <v>57</v>
      </c>
      <c r="J839" t="s">
        <v>38</v>
      </c>
      <c r="K839" t="s">
        <v>18</v>
      </c>
      <c r="L839" t="str">
        <f t="shared" si="26"/>
        <v>Apr</v>
      </c>
      <c r="M839" t="str">
        <f t="shared" si="27"/>
        <v>Sunday</v>
      </c>
    </row>
    <row r="840" spans="1:13">
      <c r="A840" t="s">
        <v>1083</v>
      </c>
      <c r="B840" t="s">
        <v>434</v>
      </c>
      <c r="C840" t="s">
        <v>60</v>
      </c>
      <c r="D840" t="s">
        <v>61</v>
      </c>
      <c r="E840">
        <v>899</v>
      </c>
      <c r="F840">
        <v>5</v>
      </c>
      <c r="G840">
        <v>4495</v>
      </c>
      <c r="H840" t="s">
        <v>30</v>
      </c>
      <c r="I840" t="s">
        <v>63</v>
      </c>
      <c r="J840" t="s">
        <v>32</v>
      </c>
      <c r="K840" t="s">
        <v>45</v>
      </c>
      <c r="L840" t="str">
        <f t="shared" si="26"/>
        <v>Mar</v>
      </c>
      <c r="M840" t="str">
        <f t="shared" si="27"/>
        <v>Friday</v>
      </c>
    </row>
    <row r="841" spans="1:13">
      <c r="A841" t="s">
        <v>1084</v>
      </c>
      <c r="B841" t="s">
        <v>154</v>
      </c>
      <c r="C841" t="s">
        <v>60</v>
      </c>
      <c r="D841" t="s">
        <v>61</v>
      </c>
      <c r="E841">
        <v>899</v>
      </c>
      <c r="F841">
        <v>2</v>
      </c>
      <c r="G841">
        <v>1798</v>
      </c>
      <c r="H841" t="s">
        <v>71</v>
      </c>
      <c r="I841" t="s">
        <v>125</v>
      </c>
      <c r="J841" t="s">
        <v>90</v>
      </c>
      <c r="K841" t="s">
        <v>18</v>
      </c>
      <c r="L841" t="str">
        <f t="shared" si="26"/>
        <v>Apr</v>
      </c>
      <c r="M841" t="str">
        <f t="shared" si="27"/>
        <v>Tuesday</v>
      </c>
    </row>
    <row r="842" spans="1:13">
      <c r="A842" t="s">
        <v>1085</v>
      </c>
      <c r="B842" t="s">
        <v>361</v>
      </c>
      <c r="C842" t="s">
        <v>28</v>
      </c>
      <c r="D842" t="s">
        <v>29</v>
      </c>
      <c r="E842">
        <v>1299</v>
      </c>
      <c r="F842">
        <v>3</v>
      </c>
      <c r="G842">
        <v>3897</v>
      </c>
      <c r="H842" t="s">
        <v>89</v>
      </c>
      <c r="I842" t="s">
        <v>63</v>
      </c>
      <c r="J842" t="s">
        <v>32</v>
      </c>
      <c r="K842" t="s">
        <v>18</v>
      </c>
      <c r="L842" t="str">
        <f t="shared" si="26"/>
        <v>Feb</v>
      </c>
      <c r="M842" t="str">
        <f t="shared" si="27"/>
        <v>Tuesday</v>
      </c>
    </row>
    <row r="843" spans="1:13">
      <c r="A843" t="s">
        <v>1086</v>
      </c>
      <c r="B843" t="s">
        <v>356</v>
      </c>
      <c r="C843" t="s">
        <v>87</v>
      </c>
      <c r="D843" t="s">
        <v>88</v>
      </c>
      <c r="E843">
        <v>5499</v>
      </c>
      <c r="F843">
        <v>4</v>
      </c>
      <c r="G843">
        <v>21996</v>
      </c>
      <c r="H843" t="s">
        <v>66</v>
      </c>
      <c r="I843" t="s">
        <v>63</v>
      </c>
      <c r="J843" t="s">
        <v>17</v>
      </c>
      <c r="K843" t="s">
        <v>45</v>
      </c>
      <c r="L843" t="str">
        <f t="shared" si="26"/>
        <v>Feb</v>
      </c>
      <c r="M843" t="str">
        <f t="shared" si="27"/>
        <v>Wednesday</v>
      </c>
    </row>
    <row r="844" spans="1:13">
      <c r="A844" t="s">
        <v>1087</v>
      </c>
      <c r="B844" t="s">
        <v>561</v>
      </c>
      <c r="C844" t="s">
        <v>21</v>
      </c>
      <c r="D844" t="s">
        <v>22</v>
      </c>
      <c r="E844">
        <v>1499</v>
      </c>
      <c r="F844">
        <v>2</v>
      </c>
      <c r="G844">
        <v>2998</v>
      </c>
      <c r="H844" t="s">
        <v>119</v>
      </c>
      <c r="I844" t="s">
        <v>98</v>
      </c>
      <c r="J844" t="s">
        <v>32</v>
      </c>
      <c r="K844" t="s">
        <v>18</v>
      </c>
      <c r="L844" t="str">
        <f t="shared" si="26"/>
        <v>Jun</v>
      </c>
      <c r="M844" t="str">
        <f t="shared" si="27"/>
        <v>Monday</v>
      </c>
    </row>
    <row r="845" spans="1:13">
      <c r="A845" t="s">
        <v>1088</v>
      </c>
      <c r="B845" t="s">
        <v>413</v>
      </c>
      <c r="C845" t="s">
        <v>135</v>
      </c>
      <c r="D845" t="s">
        <v>29</v>
      </c>
      <c r="E845">
        <v>3999</v>
      </c>
      <c r="F845">
        <v>5</v>
      </c>
      <c r="G845">
        <v>19995</v>
      </c>
      <c r="H845" t="s">
        <v>43</v>
      </c>
      <c r="I845" t="s">
        <v>125</v>
      </c>
      <c r="J845" t="s">
        <v>90</v>
      </c>
      <c r="K845" t="s">
        <v>45</v>
      </c>
      <c r="L845" t="str">
        <f t="shared" si="26"/>
        <v>Apr</v>
      </c>
      <c r="M845" t="str">
        <f t="shared" si="27"/>
        <v>Thursday</v>
      </c>
    </row>
    <row r="846" spans="1:13">
      <c r="A846" t="s">
        <v>1089</v>
      </c>
      <c r="B846" t="s">
        <v>487</v>
      </c>
      <c r="C846" t="s">
        <v>13</v>
      </c>
      <c r="D846" t="s">
        <v>14</v>
      </c>
      <c r="E846">
        <v>2499</v>
      </c>
      <c r="F846">
        <v>3</v>
      </c>
      <c r="G846">
        <v>7497</v>
      </c>
      <c r="H846" t="s">
        <v>95</v>
      </c>
      <c r="I846" t="s">
        <v>67</v>
      </c>
      <c r="J846" t="s">
        <v>17</v>
      </c>
      <c r="K846" t="s">
        <v>18</v>
      </c>
      <c r="L846" t="str">
        <f t="shared" si="26"/>
        <v>Apr</v>
      </c>
      <c r="M846" t="str">
        <f t="shared" si="27"/>
        <v>Monday</v>
      </c>
    </row>
    <row r="847" spans="1:13">
      <c r="A847" t="s">
        <v>1090</v>
      </c>
      <c r="B847" t="s">
        <v>272</v>
      </c>
      <c r="C847" t="s">
        <v>162</v>
      </c>
      <c r="D847" t="s">
        <v>29</v>
      </c>
      <c r="E847">
        <v>1799</v>
      </c>
      <c r="F847">
        <v>4</v>
      </c>
      <c r="G847">
        <v>7196</v>
      </c>
      <c r="H847" t="s">
        <v>56</v>
      </c>
      <c r="I847" t="s">
        <v>63</v>
      </c>
      <c r="J847" t="s">
        <v>32</v>
      </c>
      <c r="K847" t="s">
        <v>45</v>
      </c>
      <c r="L847" t="str">
        <f t="shared" si="26"/>
        <v>Feb</v>
      </c>
      <c r="M847" t="str">
        <f t="shared" si="27"/>
        <v>Monday</v>
      </c>
    </row>
    <row r="848" spans="1:13">
      <c r="A848" t="s">
        <v>1091</v>
      </c>
      <c r="B848" t="s">
        <v>173</v>
      </c>
      <c r="C848" t="s">
        <v>48</v>
      </c>
      <c r="D848" t="s">
        <v>49</v>
      </c>
      <c r="E848">
        <v>699</v>
      </c>
      <c r="F848">
        <v>2</v>
      </c>
      <c r="G848">
        <v>1398</v>
      </c>
      <c r="H848" t="s">
        <v>71</v>
      </c>
      <c r="I848" t="s">
        <v>24</v>
      </c>
      <c r="J848" t="s">
        <v>90</v>
      </c>
      <c r="K848" t="s">
        <v>18</v>
      </c>
      <c r="L848" t="str">
        <f t="shared" si="26"/>
        <v>Jan</v>
      </c>
      <c r="M848" t="str">
        <f t="shared" si="27"/>
        <v>Thursday</v>
      </c>
    </row>
    <row r="849" spans="1:13">
      <c r="A849" t="s">
        <v>1092</v>
      </c>
      <c r="B849" t="s">
        <v>229</v>
      </c>
      <c r="C849" t="s">
        <v>36</v>
      </c>
      <c r="D849" t="s">
        <v>29</v>
      </c>
      <c r="E849">
        <v>1999</v>
      </c>
      <c r="F849">
        <v>2</v>
      </c>
      <c r="G849">
        <v>3998</v>
      </c>
      <c r="H849" t="s">
        <v>66</v>
      </c>
      <c r="I849" t="s">
        <v>16</v>
      </c>
      <c r="J849" t="s">
        <v>38</v>
      </c>
      <c r="K849" t="s">
        <v>18</v>
      </c>
      <c r="L849" t="str">
        <f t="shared" si="26"/>
        <v>Jan</v>
      </c>
      <c r="M849" t="str">
        <f t="shared" si="27"/>
        <v>Friday</v>
      </c>
    </row>
    <row r="850" spans="1:13">
      <c r="A850" t="s">
        <v>1093</v>
      </c>
      <c r="B850" t="s">
        <v>402</v>
      </c>
      <c r="C850" t="s">
        <v>101</v>
      </c>
      <c r="D850" t="s">
        <v>81</v>
      </c>
      <c r="E850">
        <v>499</v>
      </c>
      <c r="F850">
        <v>4</v>
      </c>
      <c r="G850">
        <v>1996</v>
      </c>
      <c r="H850" t="s">
        <v>186</v>
      </c>
      <c r="I850" t="s">
        <v>24</v>
      </c>
      <c r="J850" t="s">
        <v>25</v>
      </c>
      <c r="K850" t="s">
        <v>18</v>
      </c>
      <c r="L850" t="str">
        <f t="shared" si="26"/>
        <v>Jun</v>
      </c>
      <c r="M850" t="str">
        <f t="shared" si="27"/>
        <v>Friday</v>
      </c>
    </row>
    <row r="851" spans="1:13">
      <c r="A851" t="s">
        <v>1094</v>
      </c>
      <c r="B851" t="s">
        <v>224</v>
      </c>
      <c r="C851" t="s">
        <v>21</v>
      </c>
      <c r="D851" t="s">
        <v>22</v>
      </c>
      <c r="E851">
        <v>1499</v>
      </c>
      <c r="F851">
        <v>1</v>
      </c>
      <c r="G851">
        <v>1499</v>
      </c>
      <c r="H851" t="s">
        <v>186</v>
      </c>
      <c r="I851" t="s">
        <v>24</v>
      </c>
      <c r="J851" t="s">
        <v>90</v>
      </c>
      <c r="K851" t="s">
        <v>45</v>
      </c>
      <c r="L851" t="str">
        <f t="shared" si="26"/>
        <v>Feb</v>
      </c>
      <c r="M851" t="str">
        <f t="shared" si="27"/>
        <v>Tuesday</v>
      </c>
    </row>
    <row r="852" spans="1:13">
      <c r="A852" t="s">
        <v>1095</v>
      </c>
      <c r="B852" t="s">
        <v>20</v>
      </c>
      <c r="C852" t="s">
        <v>87</v>
      </c>
      <c r="D852" t="s">
        <v>88</v>
      </c>
      <c r="E852">
        <v>5499</v>
      </c>
      <c r="F852">
        <v>5</v>
      </c>
      <c r="G852">
        <v>27495</v>
      </c>
      <c r="H852" t="s">
        <v>89</v>
      </c>
      <c r="I852" t="s">
        <v>44</v>
      </c>
      <c r="J852" t="s">
        <v>90</v>
      </c>
      <c r="K852" t="s">
        <v>18</v>
      </c>
      <c r="L852" t="str">
        <f t="shared" si="26"/>
        <v>Jun</v>
      </c>
      <c r="M852" t="str">
        <f t="shared" si="27"/>
        <v>Friday</v>
      </c>
    </row>
    <row r="853" spans="1:13">
      <c r="A853" t="s">
        <v>1096</v>
      </c>
      <c r="B853" t="s">
        <v>171</v>
      </c>
      <c r="C853" t="s">
        <v>36</v>
      </c>
      <c r="D853" t="s">
        <v>29</v>
      </c>
      <c r="E853">
        <v>1999</v>
      </c>
      <c r="F853">
        <v>4</v>
      </c>
      <c r="G853">
        <v>7996</v>
      </c>
      <c r="H853" t="s">
        <v>95</v>
      </c>
      <c r="I853" t="s">
        <v>82</v>
      </c>
      <c r="J853" t="s">
        <v>90</v>
      </c>
      <c r="K853" t="s">
        <v>18</v>
      </c>
      <c r="L853" t="str">
        <f t="shared" si="26"/>
        <v>Jun</v>
      </c>
      <c r="M853" t="str">
        <f t="shared" si="27"/>
        <v>Monday</v>
      </c>
    </row>
    <row r="854" spans="1:13">
      <c r="A854" t="s">
        <v>1097</v>
      </c>
      <c r="B854" t="s">
        <v>215</v>
      </c>
      <c r="C854" t="s">
        <v>28</v>
      </c>
      <c r="D854" t="s">
        <v>29</v>
      </c>
      <c r="E854">
        <v>1299</v>
      </c>
      <c r="F854">
        <v>1</v>
      </c>
      <c r="G854">
        <v>1299</v>
      </c>
      <c r="H854" t="s">
        <v>102</v>
      </c>
      <c r="I854" t="s">
        <v>16</v>
      </c>
      <c r="J854" t="s">
        <v>32</v>
      </c>
      <c r="K854" t="s">
        <v>45</v>
      </c>
      <c r="L854" t="str">
        <f t="shared" si="26"/>
        <v>Jan</v>
      </c>
      <c r="M854" t="str">
        <f t="shared" si="27"/>
        <v>Saturday</v>
      </c>
    </row>
    <row r="855" spans="1:13">
      <c r="A855" t="s">
        <v>1098</v>
      </c>
      <c r="B855" t="s">
        <v>205</v>
      </c>
      <c r="C855" t="s">
        <v>87</v>
      </c>
      <c r="D855" t="s">
        <v>88</v>
      </c>
      <c r="E855">
        <v>5499</v>
      </c>
      <c r="F855">
        <v>5</v>
      </c>
      <c r="G855">
        <v>27495</v>
      </c>
      <c r="H855" t="s">
        <v>157</v>
      </c>
      <c r="I855" t="s">
        <v>63</v>
      </c>
      <c r="J855" t="s">
        <v>90</v>
      </c>
      <c r="K855" t="s">
        <v>18</v>
      </c>
      <c r="L855" t="str">
        <f t="shared" si="26"/>
        <v>Jan</v>
      </c>
      <c r="M855" t="str">
        <f t="shared" si="27"/>
        <v>Wednesday</v>
      </c>
    </row>
    <row r="856" spans="1:13">
      <c r="A856" t="s">
        <v>1099</v>
      </c>
      <c r="B856" t="s">
        <v>79</v>
      </c>
      <c r="C856" t="s">
        <v>87</v>
      </c>
      <c r="D856" t="s">
        <v>88</v>
      </c>
      <c r="E856">
        <v>5499</v>
      </c>
      <c r="F856">
        <v>4</v>
      </c>
      <c r="G856">
        <v>21996</v>
      </c>
      <c r="H856" t="s">
        <v>23</v>
      </c>
      <c r="I856" t="s">
        <v>16</v>
      </c>
      <c r="J856" t="s">
        <v>32</v>
      </c>
      <c r="K856" t="s">
        <v>18</v>
      </c>
      <c r="L856" t="str">
        <f t="shared" si="26"/>
        <v>Jan</v>
      </c>
      <c r="M856" t="str">
        <f t="shared" si="27"/>
        <v>Wednesday</v>
      </c>
    </row>
    <row r="857" spans="1:13">
      <c r="A857" t="s">
        <v>1100</v>
      </c>
      <c r="B857" t="s">
        <v>494</v>
      </c>
      <c r="C857" t="s">
        <v>135</v>
      </c>
      <c r="D857" t="s">
        <v>29</v>
      </c>
      <c r="E857">
        <v>3999</v>
      </c>
      <c r="F857">
        <v>4</v>
      </c>
      <c r="G857">
        <v>15996</v>
      </c>
      <c r="H857" t="s">
        <v>95</v>
      </c>
      <c r="I857" t="s">
        <v>44</v>
      </c>
      <c r="J857" t="s">
        <v>32</v>
      </c>
      <c r="K857" t="s">
        <v>45</v>
      </c>
      <c r="L857" t="str">
        <f t="shared" si="26"/>
        <v>Mar</v>
      </c>
      <c r="M857" t="str">
        <f t="shared" si="27"/>
        <v>Sunday</v>
      </c>
    </row>
    <row r="858" spans="1:13">
      <c r="A858" t="s">
        <v>1101</v>
      </c>
      <c r="B858" t="s">
        <v>279</v>
      </c>
      <c r="C858" t="s">
        <v>52</v>
      </c>
      <c r="D858" t="s">
        <v>53</v>
      </c>
      <c r="E858">
        <v>199</v>
      </c>
      <c r="F858">
        <v>5</v>
      </c>
      <c r="G858">
        <v>995</v>
      </c>
      <c r="H858" t="s">
        <v>186</v>
      </c>
      <c r="I858" t="s">
        <v>105</v>
      </c>
      <c r="J858" t="s">
        <v>17</v>
      </c>
      <c r="K858" t="s">
        <v>45</v>
      </c>
      <c r="L858" t="str">
        <f t="shared" si="26"/>
        <v>May</v>
      </c>
      <c r="M858" t="str">
        <f t="shared" si="27"/>
        <v>Sunday</v>
      </c>
    </row>
    <row r="859" spans="1:13">
      <c r="A859" t="s">
        <v>1102</v>
      </c>
      <c r="B859" t="s">
        <v>347</v>
      </c>
      <c r="C859" t="s">
        <v>52</v>
      </c>
      <c r="D859" t="s">
        <v>53</v>
      </c>
      <c r="E859">
        <v>199</v>
      </c>
      <c r="F859">
        <v>3</v>
      </c>
      <c r="G859">
        <v>597</v>
      </c>
      <c r="H859" t="s">
        <v>56</v>
      </c>
      <c r="I859" t="s">
        <v>44</v>
      </c>
      <c r="J859" t="s">
        <v>38</v>
      </c>
      <c r="K859" t="s">
        <v>18</v>
      </c>
      <c r="L859" t="str">
        <f t="shared" si="26"/>
        <v>Feb</v>
      </c>
      <c r="M859" t="str">
        <f t="shared" si="27"/>
        <v>Friday</v>
      </c>
    </row>
    <row r="860" spans="1:13">
      <c r="A860" t="s">
        <v>1103</v>
      </c>
      <c r="B860" t="s">
        <v>219</v>
      </c>
      <c r="C860" t="s">
        <v>162</v>
      </c>
      <c r="D860" t="s">
        <v>29</v>
      </c>
      <c r="E860">
        <v>1799</v>
      </c>
      <c r="F860">
        <v>3</v>
      </c>
      <c r="G860">
        <v>5397</v>
      </c>
      <c r="H860" t="s">
        <v>102</v>
      </c>
      <c r="I860" t="s">
        <v>82</v>
      </c>
      <c r="J860" t="s">
        <v>90</v>
      </c>
      <c r="K860" t="s">
        <v>18</v>
      </c>
      <c r="L860" t="str">
        <f t="shared" si="26"/>
        <v>Jan</v>
      </c>
      <c r="M860" t="str">
        <f t="shared" si="27"/>
        <v>Monday</v>
      </c>
    </row>
    <row r="861" spans="1:13">
      <c r="A861" t="s">
        <v>1104</v>
      </c>
      <c r="B861" t="s">
        <v>210</v>
      </c>
      <c r="C861" t="s">
        <v>52</v>
      </c>
      <c r="D861" t="s">
        <v>53</v>
      </c>
      <c r="E861">
        <v>199</v>
      </c>
      <c r="F861">
        <v>5</v>
      </c>
      <c r="G861">
        <v>995</v>
      </c>
      <c r="H861" t="s">
        <v>43</v>
      </c>
      <c r="I861" t="s">
        <v>67</v>
      </c>
      <c r="J861" t="s">
        <v>32</v>
      </c>
      <c r="K861" t="s">
        <v>18</v>
      </c>
      <c r="L861" t="str">
        <f t="shared" si="26"/>
        <v>Apr</v>
      </c>
      <c r="M861" t="str">
        <f t="shared" si="27"/>
        <v>Wednesday</v>
      </c>
    </row>
    <row r="862" spans="1:13">
      <c r="A862" t="s">
        <v>1105</v>
      </c>
      <c r="B862" t="s">
        <v>474</v>
      </c>
      <c r="C862" t="s">
        <v>36</v>
      </c>
      <c r="D862" t="s">
        <v>29</v>
      </c>
      <c r="E862">
        <v>1999</v>
      </c>
      <c r="F862">
        <v>5</v>
      </c>
      <c r="G862">
        <v>9995</v>
      </c>
      <c r="H862" t="s">
        <v>15</v>
      </c>
      <c r="I862" t="s">
        <v>67</v>
      </c>
      <c r="J862" t="s">
        <v>38</v>
      </c>
      <c r="K862" t="s">
        <v>45</v>
      </c>
      <c r="L862" t="str">
        <f t="shared" si="26"/>
        <v>Apr</v>
      </c>
      <c r="M862" t="str">
        <f t="shared" si="27"/>
        <v>Thursday</v>
      </c>
    </row>
    <row r="863" spans="1:13">
      <c r="A863" t="s">
        <v>1106</v>
      </c>
      <c r="B863" t="s">
        <v>124</v>
      </c>
      <c r="C863" t="s">
        <v>70</v>
      </c>
      <c r="D863" t="s">
        <v>29</v>
      </c>
      <c r="E863">
        <v>799</v>
      </c>
      <c r="F863">
        <v>3</v>
      </c>
      <c r="G863">
        <v>2397</v>
      </c>
      <c r="H863" t="s">
        <v>95</v>
      </c>
      <c r="I863" t="s">
        <v>31</v>
      </c>
      <c r="J863" t="s">
        <v>17</v>
      </c>
      <c r="K863" t="s">
        <v>18</v>
      </c>
      <c r="L863" t="str">
        <f t="shared" si="26"/>
        <v>Jun</v>
      </c>
      <c r="M863" t="str">
        <f t="shared" si="27"/>
        <v>Tuesday</v>
      </c>
    </row>
    <row r="864" spans="1:13">
      <c r="A864" t="s">
        <v>1107</v>
      </c>
      <c r="B864" t="s">
        <v>377</v>
      </c>
      <c r="C864" t="s">
        <v>21</v>
      </c>
      <c r="D864" t="s">
        <v>22</v>
      </c>
      <c r="E864">
        <v>1499</v>
      </c>
      <c r="F864">
        <v>1</v>
      </c>
      <c r="G864">
        <v>1499</v>
      </c>
      <c r="H864" t="s">
        <v>119</v>
      </c>
      <c r="I864" t="s">
        <v>67</v>
      </c>
      <c r="J864" t="s">
        <v>90</v>
      </c>
      <c r="K864" t="s">
        <v>18</v>
      </c>
      <c r="L864" t="str">
        <f t="shared" si="26"/>
        <v>Jun</v>
      </c>
      <c r="M864" t="str">
        <f t="shared" si="27"/>
        <v>Friday</v>
      </c>
    </row>
    <row r="865" spans="1:13">
      <c r="A865" t="s">
        <v>1108</v>
      </c>
      <c r="B865" t="s">
        <v>657</v>
      </c>
      <c r="C865" t="s">
        <v>21</v>
      </c>
      <c r="D865" t="s">
        <v>22</v>
      </c>
      <c r="E865">
        <v>1499</v>
      </c>
      <c r="F865">
        <v>1</v>
      </c>
      <c r="G865">
        <v>1499</v>
      </c>
      <c r="H865" t="s">
        <v>37</v>
      </c>
      <c r="I865" t="s">
        <v>63</v>
      </c>
      <c r="J865" t="s">
        <v>32</v>
      </c>
      <c r="K865" t="s">
        <v>18</v>
      </c>
      <c r="L865" t="str">
        <f t="shared" si="26"/>
        <v>Jan</v>
      </c>
      <c r="M865" t="str">
        <f t="shared" si="27"/>
        <v>Friday</v>
      </c>
    </row>
    <row r="866" spans="1:13">
      <c r="A866" t="s">
        <v>1109</v>
      </c>
      <c r="B866" t="s">
        <v>229</v>
      </c>
      <c r="C866" t="s">
        <v>76</v>
      </c>
      <c r="D866" t="s">
        <v>49</v>
      </c>
      <c r="E866">
        <v>1599</v>
      </c>
      <c r="F866">
        <v>1</v>
      </c>
      <c r="G866">
        <v>1599</v>
      </c>
      <c r="H866" t="s">
        <v>62</v>
      </c>
      <c r="I866" t="s">
        <v>44</v>
      </c>
      <c r="J866" t="s">
        <v>32</v>
      </c>
      <c r="K866" t="s">
        <v>45</v>
      </c>
      <c r="L866" t="str">
        <f t="shared" si="26"/>
        <v>Jan</v>
      </c>
      <c r="M866" t="str">
        <f t="shared" si="27"/>
        <v>Friday</v>
      </c>
    </row>
    <row r="867" spans="1:13">
      <c r="A867" t="s">
        <v>1110</v>
      </c>
      <c r="B867" t="s">
        <v>185</v>
      </c>
      <c r="C867" t="s">
        <v>135</v>
      </c>
      <c r="D867" t="s">
        <v>29</v>
      </c>
      <c r="E867">
        <v>3999</v>
      </c>
      <c r="F867">
        <v>5</v>
      </c>
      <c r="G867">
        <v>19995</v>
      </c>
      <c r="H867" t="s">
        <v>66</v>
      </c>
      <c r="I867" t="s">
        <v>16</v>
      </c>
      <c r="J867" t="s">
        <v>90</v>
      </c>
      <c r="K867" t="s">
        <v>18</v>
      </c>
      <c r="L867" t="str">
        <f t="shared" si="26"/>
        <v>Mar</v>
      </c>
      <c r="M867" t="str">
        <f t="shared" si="27"/>
        <v>Monday</v>
      </c>
    </row>
    <row r="868" spans="1:13">
      <c r="A868" t="s">
        <v>1111</v>
      </c>
      <c r="B868" t="s">
        <v>69</v>
      </c>
      <c r="C868" t="s">
        <v>76</v>
      </c>
      <c r="D868" t="s">
        <v>49</v>
      </c>
      <c r="E868">
        <v>1599</v>
      </c>
      <c r="F868">
        <v>4</v>
      </c>
      <c r="G868">
        <v>6396</v>
      </c>
      <c r="H868" t="s">
        <v>56</v>
      </c>
      <c r="I868" t="s">
        <v>125</v>
      </c>
      <c r="J868" t="s">
        <v>32</v>
      </c>
      <c r="K868" t="s">
        <v>45</v>
      </c>
      <c r="L868" t="str">
        <f t="shared" si="26"/>
        <v>Apr</v>
      </c>
      <c r="M868" t="str">
        <f t="shared" si="27"/>
        <v>Wednesday</v>
      </c>
    </row>
    <row r="869" spans="1:13">
      <c r="A869" t="s">
        <v>1112</v>
      </c>
      <c r="B869" t="s">
        <v>1113</v>
      </c>
      <c r="C869" t="s">
        <v>135</v>
      </c>
      <c r="D869" t="s">
        <v>29</v>
      </c>
      <c r="E869">
        <v>3999</v>
      </c>
      <c r="F869">
        <v>1</v>
      </c>
      <c r="G869">
        <v>3999</v>
      </c>
      <c r="H869" t="s">
        <v>157</v>
      </c>
      <c r="I869" t="s">
        <v>31</v>
      </c>
      <c r="J869" t="s">
        <v>17</v>
      </c>
      <c r="K869" t="s">
        <v>18</v>
      </c>
      <c r="L869" t="str">
        <f t="shared" si="26"/>
        <v>Feb</v>
      </c>
      <c r="M869" t="str">
        <f t="shared" si="27"/>
        <v>Saturday</v>
      </c>
    </row>
    <row r="870" spans="1:13">
      <c r="A870" t="s">
        <v>1114</v>
      </c>
      <c r="B870" t="s">
        <v>533</v>
      </c>
      <c r="C870" t="s">
        <v>28</v>
      </c>
      <c r="D870" t="s">
        <v>29</v>
      </c>
      <c r="E870">
        <v>1299</v>
      </c>
      <c r="F870">
        <v>5</v>
      </c>
      <c r="G870">
        <v>6495</v>
      </c>
      <c r="H870" t="s">
        <v>157</v>
      </c>
      <c r="I870" t="s">
        <v>77</v>
      </c>
      <c r="J870" t="s">
        <v>25</v>
      </c>
      <c r="K870" t="s">
        <v>18</v>
      </c>
      <c r="L870" t="str">
        <f t="shared" si="26"/>
        <v>Jan</v>
      </c>
      <c r="M870" t="str">
        <f t="shared" si="27"/>
        <v>Wednesday</v>
      </c>
    </row>
    <row r="871" spans="1:13">
      <c r="A871" t="s">
        <v>1115</v>
      </c>
      <c r="B871" t="s">
        <v>118</v>
      </c>
      <c r="C871" t="s">
        <v>70</v>
      </c>
      <c r="D871" t="s">
        <v>29</v>
      </c>
      <c r="E871">
        <v>799</v>
      </c>
      <c r="F871">
        <v>3</v>
      </c>
      <c r="G871">
        <v>2397</v>
      </c>
      <c r="H871" t="s">
        <v>89</v>
      </c>
      <c r="I871" t="s">
        <v>105</v>
      </c>
      <c r="J871" t="s">
        <v>38</v>
      </c>
      <c r="K871" t="s">
        <v>18</v>
      </c>
      <c r="L871" t="str">
        <f t="shared" si="26"/>
        <v>May</v>
      </c>
      <c r="M871" t="str">
        <f t="shared" si="27"/>
        <v>Thursday</v>
      </c>
    </row>
    <row r="872" spans="1:13">
      <c r="A872" t="s">
        <v>1116</v>
      </c>
      <c r="B872" t="s">
        <v>177</v>
      </c>
      <c r="C872" t="s">
        <v>70</v>
      </c>
      <c r="D872" t="s">
        <v>29</v>
      </c>
      <c r="E872">
        <v>799</v>
      </c>
      <c r="F872">
        <v>3</v>
      </c>
      <c r="G872">
        <v>2397</v>
      </c>
      <c r="H872" t="s">
        <v>62</v>
      </c>
      <c r="I872" t="s">
        <v>44</v>
      </c>
      <c r="J872" t="s">
        <v>32</v>
      </c>
      <c r="K872" t="s">
        <v>18</v>
      </c>
      <c r="L872" t="str">
        <f t="shared" si="26"/>
        <v>Jan</v>
      </c>
      <c r="M872" t="str">
        <f t="shared" si="27"/>
        <v>Saturday</v>
      </c>
    </row>
    <row r="873" spans="1:13">
      <c r="A873" t="s">
        <v>1117</v>
      </c>
      <c r="B873" t="s">
        <v>633</v>
      </c>
      <c r="C873" t="s">
        <v>21</v>
      </c>
      <c r="D873" t="s">
        <v>22</v>
      </c>
      <c r="E873">
        <v>1499</v>
      </c>
      <c r="F873">
        <v>2</v>
      </c>
      <c r="G873">
        <v>2998</v>
      </c>
      <c r="H873" t="s">
        <v>119</v>
      </c>
      <c r="I873" t="s">
        <v>105</v>
      </c>
      <c r="J873" t="s">
        <v>32</v>
      </c>
      <c r="K873" t="s">
        <v>45</v>
      </c>
      <c r="L873" t="str">
        <f t="shared" si="26"/>
        <v>Jun</v>
      </c>
      <c r="M873" t="str">
        <f t="shared" si="27"/>
        <v>Saturday</v>
      </c>
    </row>
    <row r="874" spans="1:13">
      <c r="A874" t="s">
        <v>1118</v>
      </c>
      <c r="B874" t="s">
        <v>293</v>
      </c>
      <c r="C874" t="s">
        <v>87</v>
      </c>
      <c r="D874" t="s">
        <v>88</v>
      </c>
      <c r="E874">
        <v>5499</v>
      </c>
      <c r="F874">
        <v>4</v>
      </c>
      <c r="G874">
        <v>21996</v>
      </c>
      <c r="H874" t="s">
        <v>102</v>
      </c>
      <c r="I874" t="s">
        <v>98</v>
      </c>
      <c r="J874" t="s">
        <v>90</v>
      </c>
      <c r="K874" t="s">
        <v>18</v>
      </c>
      <c r="L874" t="str">
        <f t="shared" si="26"/>
        <v>Apr</v>
      </c>
      <c r="M874" t="str">
        <f t="shared" si="27"/>
        <v>Monday</v>
      </c>
    </row>
    <row r="875" spans="1:13">
      <c r="A875" t="s">
        <v>1119</v>
      </c>
      <c r="B875" t="s">
        <v>598</v>
      </c>
      <c r="C875" t="s">
        <v>80</v>
      </c>
      <c r="D875" t="s">
        <v>81</v>
      </c>
      <c r="E875">
        <v>299</v>
      </c>
      <c r="F875">
        <v>4</v>
      </c>
      <c r="G875">
        <v>1196</v>
      </c>
      <c r="H875" t="s">
        <v>62</v>
      </c>
      <c r="I875" t="s">
        <v>125</v>
      </c>
      <c r="J875" t="s">
        <v>17</v>
      </c>
      <c r="K875" t="s">
        <v>18</v>
      </c>
      <c r="L875" t="str">
        <f t="shared" si="26"/>
        <v>Jun</v>
      </c>
      <c r="M875" t="str">
        <f t="shared" si="27"/>
        <v>Thursday</v>
      </c>
    </row>
    <row r="876" spans="1:13">
      <c r="A876" t="s">
        <v>1120</v>
      </c>
      <c r="B876" t="s">
        <v>59</v>
      </c>
      <c r="C876" t="s">
        <v>76</v>
      </c>
      <c r="D876" t="s">
        <v>49</v>
      </c>
      <c r="E876">
        <v>1599</v>
      </c>
      <c r="F876">
        <v>1</v>
      </c>
      <c r="G876">
        <v>1599</v>
      </c>
      <c r="H876" t="s">
        <v>95</v>
      </c>
      <c r="I876" t="s">
        <v>31</v>
      </c>
      <c r="J876" t="s">
        <v>17</v>
      </c>
      <c r="K876" t="s">
        <v>18</v>
      </c>
      <c r="L876" t="str">
        <f t="shared" si="26"/>
        <v>Apr</v>
      </c>
      <c r="M876" t="str">
        <f t="shared" si="27"/>
        <v>Monday</v>
      </c>
    </row>
    <row r="877" spans="1:13">
      <c r="A877" t="s">
        <v>1121</v>
      </c>
      <c r="B877" t="s">
        <v>229</v>
      </c>
      <c r="C877" t="s">
        <v>87</v>
      </c>
      <c r="D877" t="s">
        <v>88</v>
      </c>
      <c r="E877">
        <v>5499</v>
      </c>
      <c r="F877">
        <v>2</v>
      </c>
      <c r="G877">
        <v>10998</v>
      </c>
      <c r="H877" t="s">
        <v>56</v>
      </c>
      <c r="I877" t="s">
        <v>77</v>
      </c>
      <c r="J877" t="s">
        <v>25</v>
      </c>
      <c r="K877" t="s">
        <v>18</v>
      </c>
      <c r="L877" t="str">
        <f t="shared" si="26"/>
        <v>Jan</v>
      </c>
      <c r="M877" t="str">
        <f t="shared" si="27"/>
        <v>Friday</v>
      </c>
    </row>
    <row r="878" spans="1:13">
      <c r="A878" t="s">
        <v>1122</v>
      </c>
      <c r="B878" t="s">
        <v>1072</v>
      </c>
      <c r="C878" t="s">
        <v>76</v>
      </c>
      <c r="D878" t="s">
        <v>49</v>
      </c>
      <c r="E878">
        <v>1599</v>
      </c>
      <c r="F878">
        <v>5</v>
      </c>
      <c r="G878">
        <v>7995</v>
      </c>
      <c r="H878" t="s">
        <v>66</v>
      </c>
      <c r="I878" t="s">
        <v>98</v>
      </c>
      <c r="J878" t="s">
        <v>17</v>
      </c>
      <c r="K878" t="s">
        <v>18</v>
      </c>
      <c r="L878" t="str">
        <f t="shared" si="26"/>
        <v>Jun</v>
      </c>
      <c r="M878" t="str">
        <f t="shared" si="27"/>
        <v>Thursday</v>
      </c>
    </row>
    <row r="879" spans="1:13">
      <c r="A879" t="s">
        <v>1123</v>
      </c>
      <c r="B879" t="s">
        <v>340</v>
      </c>
      <c r="C879" t="s">
        <v>135</v>
      </c>
      <c r="D879" t="s">
        <v>29</v>
      </c>
      <c r="E879">
        <v>3999</v>
      </c>
      <c r="F879">
        <v>1</v>
      </c>
      <c r="G879">
        <v>3999</v>
      </c>
      <c r="H879" t="s">
        <v>95</v>
      </c>
      <c r="I879" t="s">
        <v>24</v>
      </c>
      <c r="J879" t="s">
        <v>38</v>
      </c>
      <c r="K879" t="s">
        <v>18</v>
      </c>
      <c r="L879" t="str">
        <f t="shared" si="26"/>
        <v>May</v>
      </c>
      <c r="M879" t="str">
        <f t="shared" si="27"/>
        <v>Saturday</v>
      </c>
    </row>
    <row r="880" spans="1:13">
      <c r="A880" t="s">
        <v>1124</v>
      </c>
      <c r="B880" t="s">
        <v>1125</v>
      </c>
      <c r="C880" t="s">
        <v>135</v>
      </c>
      <c r="D880" t="s">
        <v>29</v>
      </c>
      <c r="E880">
        <v>3999</v>
      </c>
      <c r="F880">
        <v>3</v>
      </c>
      <c r="G880">
        <v>11997</v>
      </c>
      <c r="H880" t="s">
        <v>119</v>
      </c>
      <c r="I880" t="s">
        <v>16</v>
      </c>
      <c r="J880" t="s">
        <v>38</v>
      </c>
      <c r="K880" t="s">
        <v>18</v>
      </c>
      <c r="L880" t="str">
        <f t="shared" si="26"/>
        <v>Jun</v>
      </c>
      <c r="M880" t="str">
        <f t="shared" si="27"/>
        <v>Wednesday</v>
      </c>
    </row>
    <row r="881" spans="1:13">
      <c r="A881" t="s">
        <v>1126</v>
      </c>
      <c r="B881" t="s">
        <v>210</v>
      </c>
      <c r="C881" t="s">
        <v>60</v>
      </c>
      <c r="D881" t="s">
        <v>61</v>
      </c>
      <c r="E881">
        <v>899</v>
      </c>
      <c r="F881">
        <v>5</v>
      </c>
      <c r="G881">
        <v>4495</v>
      </c>
      <c r="H881" t="s">
        <v>62</v>
      </c>
      <c r="I881" t="s">
        <v>98</v>
      </c>
      <c r="J881" t="s">
        <v>25</v>
      </c>
      <c r="K881" t="s">
        <v>18</v>
      </c>
      <c r="L881" t="str">
        <f t="shared" si="26"/>
        <v>Apr</v>
      </c>
      <c r="M881" t="str">
        <f t="shared" si="27"/>
        <v>Wednesday</v>
      </c>
    </row>
    <row r="882" spans="1:13">
      <c r="A882" t="s">
        <v>1127</v>
      </c>
      <c r="B882" t="s">
        <v>709</v>
      </c>
      <c r="C882" t="s">
        <v>101</v>
      </c>
      <c r="D882" t="s">
        <v>81</v>
      </c>
      <c r="E882">
        <v>499</v>
      </c>
      <c r="F882">
        <v>3</v>
      </c>
      <c r="G882">
        <v>1497</v>
      </c>
      <c r="H882" t="s">
        <v>71</v>
      </c>
      <c r="I882" t="s">
        <v>31</v>
      </c>
      <c r="J882" t="s">
        <v>17</v>
      </c>
      <c r="K882" t="s">
        <v>18</v>
      </c>
      <c r="L882" t="str">
        <f t="shared" si="26"/>
        <v>Apr</v>
      </c>
      <c r="M882" t="str">
        <f t="shared" si="27"/>
        <v>Friday</v>
      </c>
    </row>
    <row r="883" spans="1:13">
      <c r="A883" t="s">
        <v>1128</v>
      </c>
      <c r="B883" t="s">
        <v>100</v>
      </c>
      <c r="C883" t="s">
        <v>13</v>
      </c>
      <c r="D883" t="s">
        <v>14</v>
      </c>
      <c r="E883">
        <v>2499</v>
      </c>
      <c r="F883">
        <v>1</v>
      </c>
      <c r="G883">
        <v>2499</v>
      </c>
      <c r="H883" t="s">
        <v>119</v>
      </c>
      <c r="I883" t="s">
        <v>105</v>
      </c>
      <c r="J883" t="s">
        <v>90</v>
      </c>
      <c r="K883" t="s">
        <v>18</v>
      </c>
      <c r="L883" t="str">
        <f t="shared" si="26"/>
        <v>Jan</v>
      </c>
      <c r="M883" t="str">
        <f t="shared" si="27"/>
        <v>Friday</v>
      </c>
    </row>
    <row r="884" spans="1:13">
      <c r="A884" t="s">
        <v>1129</v>
      </c>
      <c r="B884" t="s">
        <v>557</v>
      </c>
      <c r="C884" t="s">
        <v>21</v>
      </c>
      <c r="D884" t="s">
        <v>22</v>
      </c>
      <c r="E884">
        <v>1499</v>
      </c>
      <c r="F884">
        <v>4</v>
      </c>
      <c r="G884">
        <v>5996</v>
      </c>
      <c r="H884" t="s">
        <v>89</v>
      </c>
      <c r="I884" t="s">
        <v>24</v>
      </c>
      <c r="J884" t="s">
        <v>38</v>
      </c>
      <c r="K884" t="s">
        <v>18</v>
      </c>
      <c r="L884" t="str">
        <f t="shared" si="26"/>
        <v>Jan</v>
      </c>
      <c r="M884" t="str">
        <f t="shared" si="27"/>
        <v>Saturday</v>
      </c>
    </row>
    <row r="885" spans="1:13">
      <c r="A885" t="s">
        <v>1130</v>
      </c>
      <c r="B885" t="s">
        <v>171</v>
      </c>
      <c r="C885" t="s">
        <v>101</v>
      </c>
      <c r="D885" t="s">
        <v>81</v>
      </c>
      <c r="E885">
        <v>499</v>
      </c>
      <c r="F885">
        <v>5</v>
      </c>
      <c r="G885">
        <v>2495</v>
      </c>
      <c r="H885" t="s">
        <v>89</v>
      </c>
      <c r="I885" t="s">
        <v>16</v>
      </c>
      <c r="J885" t="s">
        <v>38</v>
      </c>
      <c r="K885" t="s">
        <v>18</v>
      </c>
      <c r="L885" t="str">
        <f t="shared" si="26"/>
        <v>Jun</v>
      </c>
      <c r="M885" t="str">
        <f t="shared" si="27"/>
        <v>Monday</v>
      </c>
    </row>
    <row r="886" spans="1:13">
      <c r="A886" t="s">
        <v>1131</v>
      </c>
      <c r="B886" t="s">
        <v>276</v>
      </c>
      <c r="C886" t="s">
        <v>48</v>
      </c>
      <c r="D886" t="s">
        <v>49</v>
      </c>
      <c r="E886">
        <v>699</v>
      </c>
      <c r="F886">
        <v>2</v>
      </c>
      <c r="G886">
        <v>1398</v>
      </c>
      <c r="H886" t="s">
        <v>56</v>
      </c>
      <c r="I886" t="s">
        <v>98</v>
      </c>
      <c r="J886" t="s">
        <v>38</v>
      </c>
      <c r="K886" t="s">
        <v>18</v>
      </c>
      <c r="L886" t="str">
        <f t="shared" si="26"/>
        <v>Feb</v>
      </c>
      <c r="M886" t="str">
        <f t="shared" si="27"/>
        <v>Saturday</v>
      </c>
    </row>
    <row r="887" spans="1:13">
      <c r="A887" t="s">
        <v>1132</v>
      </c>
      <c r="B887" t="s">
        <v>227</v>
      </c>
      <c r="C887" t="s">
        <v>28</v>
      </c>
      <c r="D887" t="s">
        <v>29</v>
      </c>
      <c r="E887">
        <v>1299</v>
      </c>
      <c r="F887">
        <v>2</v>
      </c>
      <c r="G887">
        <v>2598</v>
      </c>
      <c r="H887" t="s">
        <v>95</v>
      </c>
      <c r="I887" t="s">
        <v>77</v>
      </c>
      <c r="J887" t="s">
        <v>38</v>
      </c>
      <c r="K887" t="s">
        <v>45</v>
      </c>
      <c r="L887" t="str">
        <f t="shared" si="26"/>
        <v>Jan</v>
      </c>
      <c r="M887" t="str">
        <f t="shared" si="27"/>
        <v>Sunday</v>
      </c>
    </row>
    <row r="888" spans="1:13">
      <c r="A888" t="s">
        <v>1133</v>
      </c>
      <c r="B888" t="s">
        <v>177</v>
      </c>
      <c r="C888" t="s">
        <v>21</v>
      </c>
      <c r="D888" t="s">
        <v>22</v>
      </c>
      <c r="E888">
        <v>1499</v>
      </c>
      <c r="F888">
        <v>3</v>
      </c>
      <c r="G888">
        <v>4497</v>
      </c>
      <c r="H888" t="s">
        <v>66</v>
      </c>
      <c r="I888" t="s">
        <v>82</v>
      </c>
      <c r="J888" t="s">
        <v>38</v>
      </c>
      <c r="K888" t="s">
        <v>18</v>
      </c>
      <c r="L888" t="str">
        <f t="shared" si="26"/>
        <v>Jan</v>
      </c>
      <c r="M888" t="str">
        <f t="shared" si="27"/>
        <v>Saturday</v>
      </c>
    </row>
    <row r="889" spans="1:13">
      <c r="A889" t="s">
        <v>1134</v>
      </c>
      <c r="B889" t="s">
        <v>104</v>
      </c>
      <c r="C889" t="s">
        <v>76</v>
      </c>
      <c r="D889" t="s">
        <v>49</v>
      </c>
      <c r="E889">
        <v>1599</v>
      </c>
      <c r="F889">
        <v>3</v>
      </c>
      <c r="G889">
        <v>4797</v>
      </c>
      <c r="H889" t="s">
        <v>119</v>
      </c>
      <c r="I889" t="s">
        <v>44</v>
      </c>
      <c r="J889" t="s">
        <v>25</v>
      </c>
      <c r="K889" t="s">
        <v>45</v>
      </c>
      <c r="L889" t="str">
        <f t="shared" si="26"/>
        <v>Jun</v>
      </c>
      <c r="M889" t="str">
        <f t="shared" si="27"/>
        <v>Monday</v>
      </c>
    </row>
    <row r="890" spans="1:13">
      <c r="A890" t="s">
        <v>1135</v>
      </c>
      <c r="B890" t="s">
        <v>356</v>
      </c>
      <c r="C890" t="s">
        <v>122</v>
      </c>
      <c r="D890" t="s">
        <v>29</v>
      </c>
      <c r="E890">
        <v>1299</v>
      </c>
      <c r="F890">
        <v>3</v>
      </c>
      <c r="G890">
        <v>3897</v>
      </c>
      <c r="H890" t="s">
        <v>102</v>
      </c>
      <c r="I890" t="s">
        <v>67</v>
      </c>
      <c r="J890" t="s">
        <v>32</v>
      </c>
      <c r="K890" t="s">
        <v>33</v>
      </c>
      <c r="L890" t="str">
        <f t="shared" si="26"/>
        <v>Feb</v>
      </c>
      <c r="M890" t="str">
        <f t="shared" si="27"/>
        <v>Wednesday</v>
      </c>
    </row>
    <row r="891" spans="1:13">
      <c r="A891" t="s">
        <v>1136</v>
      </c>
      <c r="B891" t="s">
        <v>546</v>
      </c>
      <c r="C891" t="s">
        <v>80</v>
      </c>
      <c r="D891" t="s">
        <v>81</v>
      </c>
      <c r="E891">
        <v>299</v>
      </c>
      <c r="F891">
        <v>4</v>
      </c>
      <c r="G891">
        <v>1196</v>
      </c>
      <c r="H891" t="s">
        <v>89</v>
      </c>
      <c r="I891" t="s">
        <v>16</v>
      </c>
      <c r="J891" t="s">
        <v>32</v>
      </c>
      <c r="K891" t="s">
        <v>45</v>
      </c>
      <c r="L891" t="str">
        <f t="shared" si="26"/>
        <v>Feb</v>
      </c>
      <c r="M891" t="str">
        <f t="shared" si="27"/>
        <v>Tuesday</v>
      </c>
    </row>
    <row r="892" spans="1:13">
      <c r="A892" t="s">
        <v>1137</v>
      </c>
      <c r="B892" t="s">
        <v>373</v>
      </c>
      <c r="C892" t="s">
        <v>101</v>
      </c>
      <c r="D892" t="s">
        <v>81</v>
      </c>
      <c r="E892">
        <v>499</v>
      </c>
      <c r="F892">
        <v>5</v>
      </c>
      <c r="G892">
        <v>2495</v>
      </c>
      <c r="H892" t="s">
        <v>186</v>
      </c>
      <c r="I892" t="s">
        <v>24</v>
      </c>
      <c r="J892" t="s">
        <v>38</v>
      </c>
      <c r="K892" t="s">
        <v>18</v>
      </c>
      <c r="L892" t="str">
        <f t="shared" si="26"/>
        <v>Mar</v>
      </c>
      <c r="M892" t="str">
        <f t="shared" si="27"/>
        <v>Wednesday</v>
      </c>
    </row>
    <row r="893" spans="1:13">
      <c r="A893" t="s">
        <v>1138</v>
      </c>
      <c r="B893" t="s">
        <v>55</v>
      </c>
      <c r="C893" t="s">
        <v>101</v>
      </c>
      <c r="D893" t="s">
        <v>81</v>
      </c>
      <c r="E893">
        <v>499</v>
      </c>
      <c r="F893">
        <v>1</v>
      </c>
      <c r="G893">
        <v>499</v>
      </c>
      <c r="H893" t="s">
        <v>95</v>
      </c>
      <c r="I893" t="s">
        <v>44</v>
      </c>
      <c r="J893" t="s">
        <v>32</v>
      </c>
      <c r="K893" t="s">
        <v>18</v>
      </c>
      <c r="L893" t="str">
        <f t="shared" si="26"/>
        <v>Mar</v>
      </c>
      <c r="M893" t="str">
        <f t="shared" si="27"/>
        <v>Sunday</v>
      </c>
    </row>
    <row r="894" spans="1:13">
      <c r="A894" t="s">
        <v>1139</v>
      </c>
      <c r="B894" t="s">
        <v>227</v>
      </c>
      <c r="C894" t="s">
        <v>87</v>
      </c>
      <c r="D894" t="s">
        <v>88</v>
      </c>
      <c r="E894">
        <v>5499</v>
      </c>
      <c r="F894">
        <v>1</v>
      </c>
      <c r="G894">
        <v>5499</v>
      </c>
      <c r="H894" t="s">
        <v>62</v>
      </c>
      <c r="I894" t="s">
        <v>24</v>
      </c>
      <c r="J894" t="s">
        <v>38</v>
      </c>
      <c r="K894" t="s">
        <v>33</v>
      </c>
      <c r="L894" t="str">
        <f t="shared" si="26"/>
        <v>Jan</v>
      </c>
      <c r="M894" t="str">
        <f t="shared" si="27"/>
        <v>Sunday</v>
      </c>
    </row>
    <row r="895" spans="1:13">
      <c r="A895" t="s">
        <v>1140</v>
      </c>
      <c r="B895" t="s">
        <v>633</v>
      </c>
      <c r="C895" t="s">
        <v>80</v>
      </c>
      <c r="D895" t="s">
        <v>81</v>
      </c>
      <c r="E895">
        <v>299</v>
      </c>
      <c r="F895">
        <v>1</v>
      </c>
      <c r="G895">
        <v>299</v>
      </c>
      <c r="H895" t="s">
        <v>95</v>
      </c>
      <c r="I895" t="s">
        <v>24</v>
      </c>
      <c r="J895" t="s">
        <v>38</v>
      </c>
      <c r="K895" t="s">
        <v>18</v>
      </c>
      <c r="L895" t="str">
        <f t="shared" si="26"/>
        <v>Jun</v>
      </c>
      <c r="M895" t="str">
        <f t="shared" si="27"/>
        <v>Saturday</v>
      </c>
    </row>
    <row r="896" spans="1:13">
      <c r="A896" t="s">
        <v>1141</v>
      </c>
      <c r="B896" t="s">
        <v>164</v>
      </c>
      <c r="C896" t="s">
        <v>36</v>
      </c>
      <c r="D896" t="s">
        <v>29</v>
      </c>
      <c r="E896">
        <v>1999</v>
      </c>
      <c r="F896">
        <v>3</v>
      </c>
      <c r="G896">
        <v>5997</v>
      </c>
      <c r="H896" t="s">
        <v>30</v>
      </c>
      <c r="I896" t="s">
        <v>77</v>
      </c>
      <c r="J896" t="s">
        <v>38</v>
      </c>
      <c r="K896" t="s">
        <v>33</v>
      </c>
      <c r="L896" t="str">
        <f t="shared" si="26"/>
        <v>Feb</v>
      </c>
      <c r="M896" t="str">
        <f t="shared" si="27"/>
        <v>Wednesday</v>
      </c>
    </row>
    <row r="897" spans="1:13">
      <c r="A897" t="s">
        <v>1142</v>
      </c>
      <c r="B897" t="s">
        <v>447</v>
      </c>
      <c r="C897" t="s">
        <v>80</v>
      </c>
      <c r="D897" t="s">
        <v>81</v>
      </c>
      <c r="E897">
        <v>299</v>
      </c>
      <c r="F897">
        <v>3</v>
      </c>
      <c r="G897">
        <v>897</v>
      </c>
      <c r="H897" t="s">
        <v>95</v>
      </c>
      <c r="I897" t="s">
        <v>63</v>
      </c>
      <c r="J897" t="s">
        <v>25</v>
      </c>
      <c r="K897" t="s">
        <v>18</v>
      </c>
      <c r="L897" t="str">
        <f t="shared" si="26"/>
        <v>May</v>
      </c>
      <c r="M897" t="str">
        <f t="shared" si="27"/>
        <v>Friday</v>
      </c>
    </row>
    <row r="898" spans="1:13">
      <c r="A898" t="s">
        <v>1143</v>
      </c>
      <c r="B898" t="s">
        <v>347</v>
      </c>
      <c r="C898" t="s">
        <v>60</v>
      </c>
      <c r="D898" t="s">
        <v>61</v>
      </c>
      <c r="E898">
        <v>899</v>
      </c>
      <c r="F898">
        <v>4</v>
      </c>
      <c r="G898">
        <v>3596</v>
      </c>
      <c r="H898" t="s">
        <v>89</v>
      </c>
      <c r="I898" t="s">
        <v>105</v>
      </c>
      <c r="J898" t="s">
        <v>38</v>
      </c>
      <c r="K898" t="s">
        <v>18</v>
      </c>
      <c r="L898" t="str">
        <f t="shared" si="26"/>
        <v>Feb</v>
      </c>
      <c r="M898" t="str">
        <f t="shared" si="27"/>
        <v>Friday</v>
      </c>
    </row>
    <row r="899" spans="1:13">
      <c r="A899" t="s">
        <v>1144</v>
      </c>
      <c r="B899" t="s">
        <v>212</v>
      </c>
      <c r="C899" t="s">
        <v>76</v>
      </c>
      <c r="D899" t="s">
        <v>49</v>
      </c>
      <c r="E899">
        <v>1599</v>
      </c>
      <c r="F899">
        <v>4</v>
      </c>
      <c r="G899">
        <v>6396</v>
      </c>
      <c r="H899" t="s">
        <v>62</v>
      </c>
      <c r="I899" t="s">
        <v>105</v>
      </c>
      <c r="J899" t="s">
        <v>90</v>
      </c>
      <c r="K899" t="s">
        <v>45</v>
      </c>
      <c r="L899" t="str">
        <f t="shared" ref="L899:L962" si="28">TEXT(B899,"MMM")</f>
        <v>Mar</v>
      </c>
      <c r="M899" t="str">
        <f t="shared" ref="M899:M962" si="29">TEXT(B899,"dddd")</f>
        <v>Monday</v>
      </c>
    </row>
    <row r="900" spans="1:13">
      <c r="A900" t="s">
        <v>1145</v>
      </c>
      <c r="B900" t="s">
        <v>246</v>
      </c>
      <c r="C900" t="s">
        <v>162</v>
      </c>
      <c r="D900" t="s">
        <v>29</v>
      </c>
      <c r="E900">
        <v>1799</v>
      </c>
      <c r="F900">
        <v>3</v>
      </c>
      <c r="G900">
        <v>5397</v>
      </c>
      <c r="H900" t="s">
        <v>62</v>
      </c>
      <c r="I900" t="s">
        <v>82</v>
      </c>
      <c r="J900" t="s">
        <v>25</v>
      </c>
      <c r="K900" t="s">
        <v>18</v>
      </c>
      <c r="L900" t="str">
        <f t="shared" si="28"/>
        <v>Jan</v>
      </c>
      <c r="M900" t="str">
        <f t="shared" si="29"/>
        <v>Tuesday</v>
      </c>
    </row>
    <row r="901" spans="1:13">
      <c r="A901" t="s">
        <v>1146</v>
      </c>
      <c r="B901" t="s">
        <v>179</v>
      </c>
      <c r="C901" t="s">
        <v>70</v>
      </c>
      <c r="D901" t="s">
        <v>29</v>
      </c>
      <c r="E901">
        <v>799</v>
      </c>
      <c r="F901">
        <v>5</v>
      </c>
      <c r="G901">
        <v>3995</v>
      </c>
      <c r="H901" t="s">
        <v>23</v>
      </c>
      <c r="I901" t="s">
        <v>77</v>
      </c>
      <c r="J901" t="s">
        <v>25</v>
      </c>
      <c r="K901" t="s">
        <v>33</v>
      </c>
      <c r="L901" t="str">
        <f t="shared" si="28"/>
        <v>May</v>
      </c>
      <c r="M901" t="str">
        <f t="shared" si="29"/>
        <v>Wednesday</v>
      </c>
    </row>
    <row r="902" spans="1:13">
      <c r="A902" t="s">
        <v>1147</v>
      </c>
      <c r="B902" t="s">
        <v>189</v>
      </c>
      <c r="C902" t="s">
        <v>87</v>
      </c>
      <c r="D902" t="s">
        <v>88</v>
      </c>
      <c r="E902">
        <v>5499</v>
      </c>
      <c r="F902">
        <v>5</v>
      </c>
      <c r="G902">
        <v>27495</v>
      </c>
      <c r="H902" t="s">
        <v>66</v>
      </c>
      <c r="I902" t="s">
        <v>77</v>
      </c>
      <c r="J902" t="s">
        <v>38</v>
      </c>
      <c r="K902" t="s">
        <v>18</v>
      </c>
      <c r="L902" t="str">
        <f t="shared" si="28"/>
        <v>Apr</v>
      </c>
      <c r="M902" t="str">
        <f t="shared" si="29"/>
        <v>Sunday</v>
      </c>
    </row>
    <row r="903" spans="1:13">
      <c r="A903" t="s">
        <v>1148</v>
      </c>
      <c r="B903" t="s">
        <v>161</v>
      </c>
      <c r="C903" t="s">
        <v>87</v>
      </c>
      <c r="D903" t="s">
        <v>88</v>
      </c>
      <c r="E903">
        <v>5499</v>
      </c>
      <c r="F903">
        <v>2</v>
      </c>
      <c r="G903">
        <v>10998</v>
      </c>
      <c r="H903" t="s">
        <v>102</v>
      </c>
      <c r="I903" t="s">
        <v>77</v>
      </c>
      <c r="J903" t="s">
        <v>90</v>
      </c>
      <c r="K903" t="s">
        <v>18</v>
      </c>
      <c r="L903" t="str">
        <f t="shared" si="28"/>
        <v>Apr</v>
      </c>
      <c r="M903" t="str">
        <f t="shared" si="29"/>
        <v>Friday</v>
      </c>
    </row>
    <row r="904" spans="1:13">
      <c r="A904" t="s">
        <v>1149</v>
      </c>
      <c r="B904" t="s">
        <v>291</v>
      </c>
      <c r="C904" t="s">
        <v>162</v>
      </c>
      <c r="D904" t="s">
        <v>29</v>
      </c>
      <c r="E904">
        <v>1799</v>
      </c>
      <c r="F904">
        <v>3</v>
      </c>
      <c r="G904">
        <v>5397</v>
      </c>
      <c r="H904" t="s">
        <v>15</v>
      </c>
      <c r="I904" t="s">
        <v>98</v>
      </c>
      <c r="J904" t="s">
        <v>25</v>
      </c>
      <c r="K904" t="s">
        <v>18</v>
      </c>
      <c r="L904" t="str">
        <f t="shared" si="28"/>
        <v>Apr</v>
      </c>
      <c r="M904" t="str">
        <f t="shared" si="29"/>
        <v>Saturday</v>
      </c>
    </row>
    <row r="905" spans="1:13">
      <c r="A905" t="s">
        <v>1150</v>
      </c>
      <c r="B905" t="s">
        <v>748</v>
      </c>
      <c r="C905" t="s">
        <v>135</v>
      </c>
      <c r="D905" t="s">
        <v>29</v>
      </c>
      <c r="E905">
        <v>3999</v>
      </c>
      <c r="F905">
        <v>1</v>
      </c>
      <c r="G905">
        <v>3999</v>
      </c>
      <c r="H905" t="s">
        <v>102</v>
      </c>
      <c r="I905" t="s">
        <v>16</v>
      </c>
      <c r="J905" t="s">
        <v>90</v>
      </c>
      <c r="K905" t="s">
        <v>18</v>
      </c>
      <c r="L905" t="str">
        <f t="shared" si="28"/>
        <v>Mar</v>
      </c>
      <c r="M905" t="str">
        <f t="shared" si="29"/>
        <v>Tuesday</v>
      </c>
    </row>
    <row r="906" spans="1:13">
      <c r="A906" t="s">
        <v>1151</v>
      </c>
      <c r="B906" t="s">
        <v>431</v>
      </c>
      <c r="C906" t="s">
        <v>70</v>
      </c>
      <c r="D906" t="s">
        <v>29</v>
      </c>
      <c r="E906">
        <v>799</v>
      </c>
      <c r="F906">
        <v>3</v>
      </c>
      <c r="G906">
        <v>2397</v>
      </c>
      <c r="H906" t="s">
        <v>186</v>
      </c>
      <c r="I906" t="s">
        <v>63</v>
      </c>
      <c r="J906" t="s">
        <v>25</v>
      </c>
      <c r="K906" t="s">
        <v>18</v>
      </c>
      <c r="L906" t="str">
        <f t="shared" si="28"/>
        <v>Feb</v>
      </c>
      <c r="M906" t="str">
        <f t="shared" si="29"/>
        <v>Thursday</v>
      </c>
    </row>
    <row r="907" spans="1:13">
      <c r="A907" t="s">
        <v>1152</v>
      </c>
      <c r="B907" t="s">
        <v>276</v>
      </c>
      <c r="C907" t="s">
        <v>80</v>
      </c>
      <c r="D907" t="s">
        <v>81</v>
      </c>
      <c r="E907">
        <v>299</v>
      </c>
      <c r="F907">
        <v>5</v>
      </c>
      <c r="G907">
        <v>1495</v>
      </c>
      <c r="H907" t="s">
        <v>95</v>
      </c>
      <c r="I907" t="s">
        <v>105</v>
      </c>
      <c r="J907" t="s">
        <v>90</v>
      </c>
      <c r="K907" t="s">
        <v>18</v>
      </c>
      <c r="L907" t="str">
        <f t="shared" si="28"/>
        <v>Feb</v>
      </c>
      <c r="M907" t="str">
        <f t="shared" si="29"/>
        <v>Saturday</v>
      </c>
    </row>
    <row r="908" spans="1:13">
      <c r="A908" t="s">
        <v>1153</v>
      </c>
      <c r="B908" t="s">
        <v>42</v>
      </c>
      <c r="C908" t="s">
        <v>122</v>
      </c>
      <c r="D908" t="s">
        <v>29</v>
      </c>
      <c r="E908">
        <v>1299</v>
      </c>
      <c r="F908">
        <v>4</v>
      </c>
      <c r="G908">
        <v>5196</v>
      </c>
      <c r="H908" t="s">
        <v>89</v>
      </c>
      <c r="I908" t="s">
        <v>77</v>
      </c>
      <c r="J908" t="s">
        <v>32</v>
      </c>
      <c r="K908" t="s">
        <v>18</v>
      </c>
      <c r="L908" t="str">
        <f t="shared" si="28"/>
        <v>Mar</v>
      </c>
      <c r="M908" t="str">
        <f t="shared" si="29"/>
        <v>Wednesday</v>
      </c>
    </row>
    <row r="909" spans="1:13">
      <c r="A909" t="s">
        <v>1154</v>
      </c>
      <c r="B909" t="s">
        <v>745</v>
      </c>
      <c r="C909" t="s">
        <v>21</v>
      </c>
      <c r="D909" t="s">
        <v>22</v>
      </c>
      <c r="E909">
        <v>1499</v>
      </c>
      <c r="F909">
        <v>2</v>
      </c>
      <c r="G909">
        <v>2998</v>
      </c>
      <c r="H909" t="s">
        <v>119</v>
      </c>
      <c r="I909" t="s">
        <v>63</v>
      </c>
      <c r="J909" t="s">
        <v>90</v>
      </c>
      <c r="K909" t="s">
        <v>18</v>
      </c>
      <c r="L909" t="str">
        <f t="shared" si="28"/>
        <v>Apr</v>
      </c>
      <c r="M909" t="str">
        <f t="shared" si="29"/>
        <v>Friday</v>
      </c>
    </row>
    <row r="910" spans="1:13">
      <c r="A910" t="s">
        <v>1155</v>
      </c>
      <c r="B910" t="s">
        <v>316</v>
      </c>
      <c r="C910" t="s">
        <v>60</v>
      </c>
      <c r="D910" t="s">
        <v>61</v>
      </c>
      <c r="E910">
        <v>899</v>
      </c>
      <c r="F910">
        <v>4</v>
      </c>
      <c r="G910">
        <v>3596</v>
      </c>
      <c r="H910" t="s">
        <v>62</v>
      </c>
      <c r="I910" t="s">
        <v>125</v>
      </c>
      <c r="J910" t="s">
        <v>25</v>
      </c>
      <c r="K910" t="s">
        <v>18</v>
      </c>
      <c r="L910" t="str">
        <f t="shared" si="28"/>
        <v>Mar</v>
      </c>
      <c r="M910" t="str">
        <f t="shared" si="29"/>
        <v>Wednesday</v>
      </c>
    </row>
    <row r="911" spans="1:13">
      <c r="A911" t="s">
        <v>1156</v>
      </c>
      <c r="B911" t="s">
        <v>657</v>
      </c>
      <c r="C911" t="s">
        <v>28</v>
      </c>
      <c r="D911" t="s">
        <v>29</v>
      </c>
      <c r="E911">
        <v>1299</v>
      </c>
      <c r="F911">
        <v>4</v>
      </c>
      <c r="G911">
        <v>5196</v>
      </c>
      <c r="H911" t="s">
        <v>62</v>
      </c>
      <c r="I911" t="s">
        <v>63</v>
      </c>
      <c r="J911" t="s">
        <v>17</v>
      </c>
      <c r="K911" t="s">
        <v>18</v>
      </c>
      <c r="L911" t="str">
        <f t="shared" si="28"/>
        <v>Jan</v>
      </c>
      <c r="M911" t="str">
        <f t="shared" si="29"/>
        <v>Friday</v>
      </c>
    </row>
    <row r="912" spans="1:13">
      <c r="A912" t="s">
        <v>1157</v>
      </c>
      <c r="B912" t="s">
        <v>408</v>
      </c>
      <c r="C912" t="s">
        <v>70</v>
      </c>
      <c r="D912" t="s">
        <v>29</v>
      </c>
      <c r="E912">
        <v>799</v>
      </c>
      <c r="F912">
        <v>3</v>
      </c>
      <c r="G912">
        <v>2397</v>
      </c>
      <c r="H912" t="s">
        <v>43</v>
      </c>
      <c r="I912" t="s">
        <v>31</v>
      </c>
      <c r="J912" t="s">
        <v>17</v>
      </c>
      <c r="K912" t="s">
        <v>18</v>
      </c>
      <c r="L912" t="str">
        <f t="shared" si="28"/>
        <v>Mar</v>
      </c>
      <c r="M912" t="str">
        <f t="shared" si="29"/>
        <v>Monday</v>
      </c>
    </row>
    <row r="913" spans="1:13">
      <c r="A913" t="s">
        <v>1158</v>
      </c>
      <c r="B913" t="s">
        <v>300</v>
      </c>
      <c r="C913" t="s">
        <v>28</v>
      </c>
      <c r="D913" t="s">
        <v>29</v>
      </c>
      <c r="E913">
        <v>1299</v>
      </c>
      <c r="F913">
        <v>1</v>
      </c>
      <c r="G913">
        <v>1299</v>
      </c>
      <c r="H913" t="s">
        <v>37</v>
      </c>
      <c r="I913" t="s">
        <v>31</v>
      </c>
      <c r="J913" t="s">
        <v>90</v>
      </c>
      <c r="K913" t="s">
        <v>33</v>
      </c>
      <c r="L913" t="str">
        <f t="shared" si="28"/>
        <v>Jan</v>
      </c>
      <c r="M913" t="str">
        <f t="shared" si="29"/>
        <v>Friday</v>
      </c>
    </row>
    <row r="914" spans="1:13">
      <c r="A914" t="s">
        <v>1159</v>
      </c>
      <c r="B914" t="s">
        <v>1011</v>
      </c>
      <c r="C914" t="s">
        <v>135</v>
      </c>
      <c r="D914" t="s">
        <v>29</v>
      </c>
      <c r="E914">
        <v>3999</v>
      </c>
      <c r="F914">
        <v>4</v>
      </c>
      <c r="G914">
        <v>15996</v>
      </c>
      <c r="H914" t="s">
        <v>186</v>
      </c>
      <c r="I914" t="s">
        <v>77</v>
      </c>
      <c r="J914" t="s">
        <v>38</v>
      </c>
      <c r="K914" t="s">
        <v>18</v>
      </c>
      <c r="L914" t="str">
        <f t="shared" si="28"/>
        <v>May</v>
      </c>
      <c r="M914" t="str">
        <f t="shared" si="29"/>
        <v>Tuesday</v>
      </c>
    </row>
    <row r="915" spans="1:13">
      <c r="A915" t="s">
        <v>1160</v>
      </c>
      <c r="B915" t="s">
        <v>210</v>
      </c>
      <c r="C915" t="s">
        <v>28</v>
      </c>
      <c r="D915" t="s">
        <v>29</v>
      </c>
      <c r="E915">
        <v>1299</v>
      </c>
      <c r="F915">
        <v>4</v>
      </c>
      <c r="G915">
        <v>5196</v>
      </c>
      <c r="H915" t="s">
        <v>71</v>
      </c>
      <c r="I915" t="s">
        <v>105</v>
      </c>
      <c r="J915" t="s">
        <v>90</v>
      </c>
      <c r="K915" t="s">
        <v>18</v>
      </c>
      <c r="L915" t="str">
        <f t="shared" si="28"/>
        <v>Apr</v>
      </c>
      <c r="M915" t="str">
        <f t="shared" si="29"/>
        <v>Wednesday</v>
      </c>
    </row>
    <row r="916" spans="1:13">
      <c r="A916" t="s">
        <v>1161</v>
      </c>
      <c r="B916" t="s">
        <v>205</v>
      </c>
      <c r="C916" t="s">
        <v>135</v>
      </c>
      <c r="D916" t="s">
        <v>29</v>
      </c>
      <c r="E916">
        <v>3999</v>
      </c>
      <c r="F916">
        <v>5</v>
      </c>
      <c r="G916">
        <v>19995</v>
      </c>
      <c r="H916" t="s">
        <v>157</v>
      </c>
      <c r="I916" t="s">
        <v>44</v>
      </c>
      <c r="J916" t="s">
        <v>38</v>
      </c>
      <c r="K916" t="s">
        <v>18</v>
      </c>
      <c r="L916" t="str">
        <f t="shared" si="28"/>
        <v>Jan</v>
      </c>
      <c r="M916" t="str">
        <f t="shared" si="29"/>
        <v>Wednesday</v>
      </c>
    </row>
    <row r="917" spans="1:13">
      <c r="A917" t="s">
        <v>1162</v>
      </c>
      <c r="B917" t="s">
        <v>310</v>
      </c>
      <c r="C917" t="s">
        <v>28</v>
      </c>
      <c r="D917" t="s">
        <v>29</v>
      </c>
      <c r="E917">
        <v>1299</v>
      </c>
      <c r="F917">
        <v>3</v>
      </c>
      <c r="G917">
        <v>3897</v>
      </c>
      <c r="H917" t="s">
        <v>15</v>
      </c>
      <c r="I917" t="s">
        <v>67</v>
      </c>
      <c r="J917" t="s">
        <v>90</v>
      </c>
      <c r="K917" t="s">
        <v>18</v>
      </c>
      <c r="L917" t="str">
        <f t="shared" si="28"/>
        <v>Feb</v>
      </c>
      <c r="M917" t="str">
        <f t="shared" si="29"/>
        <v>Sunday</v>
      </c>
    </row>
    <row r="918" spans="1:13">
      <c r="A918" t="s">
        <v>1163</v>
      </c>
      <c r="B918" t="s">
        <v>709</v>
      </c>
      <c r="C918" t="s">
        <v>48</v>
      </c>
      <c r="D918" t="s">
        <v>49</v>
      </c>
      <c r="E918">
        <v>699</v>
      </c>
      <c r="F918">
        <v>4</v>
      </c>
      <c r="G918">
        <v>2796</v>
      </c>
      <c r="H918" t="s">
        <v>62</v>
      </c>
      <c r="I918" t="s">
        <v>24</v>
      </c>
      <c r="J918" t="s">
        <v>17</v>
      </c>
      <c r="K918" t="s">
        <v>18</v>
      </c>
      <c r="L918" t="str">
        <f t="shared" si="28"/>
        <v>Apr</v>
      </c>
      <c r="M918" t="str">
        <f t="shared" si="29"/>
        <v>Friday</v>
      </c>
    </row>
    <row r="919" spans="1:13">
      <c r="A919" t="s">
        <v>1164</v>
      </c>
      <c r="B919" t="s">
        <v>402</v>
      </c>
      <c r="C919" t="s">
        <v>48</v>
      </c>
      <c r="D919" t="s">
        <v>49</v>
      </c>
      <c r="E919">
        <v>699</v>
      </c>
      <c r="F919">
        <v>5</v>
      </c>
      <c r="G919">
        <v>3495</v>
      </c>
      <c r="H919" t="s">
        <v>95</v>
      </c>
      <c r="I919" t="s">
        <v>31</v>
      </c>
      <c r="J919" t="s">
        <v>17</v>
      </c>
      <c r="K919" t="s">
        <v>18</v>
      </c>
      <c r="L919" t="str">
        <f t="shared" si="28"/>
        <v>Jun</v>
      </c>
      <c r="M919" t="str">
        <f t="shared" si="29"/>
        <v>Friday</v>
      </c>
    </row>
    <row r="920" spans="1:13">
      <c r="A920" t="s">
        <v>1165</v>
      </c>
      <c r="B920" t="s">
        <v>97</v>
      </c>
      <c r="C920" t="s">
        <v>70</v>
      </c>
      <c r="D920" t="s">
        <v>29</v>
      </c>
      <c r="E920">
        <v>799</v>
      </c>
      <c r="F920">
        <v>3</v>
      </c>
      <c r="G920">
        <v>2397</v>
      </c>
      <c r="H920" t="s">
        <v>37</v>
      </c>
      <c r="I920" t="s">
        <v>105</v>
      </c>
      <c r="J920" t="s">
        <v>32</v>
      </c>
      <c r="K920" t="s">
        <v>45</v>
      </c>
      <c r="L920" t="str">
        <f t="shared" si="28"/>
        <v>Mar</v>
      </c>
      <c r="M920" t="str">
        <f t="shared" si="29"/>
        <v>Sunday</v>
      </c>
    </row>
    <row r="921" spans="1:13">
      <c r="A921" t="s">
        <v>1166</v>
      </c>
      <c r="B921" t="s">
        <v>237</v>
      </c>
      <c r="C921" t="s">
        <v>48</v>
      </c>
      <c r="D921" t="s">
        <v>49</v>
      </c>
      <c r="E921">
        <v>699</v>
      </c>
      <c r="F921">
        <v>1</v>
      </c>
      <c r="G921">
        <v>699</v>
      </c>
      <c r="H921" t="s">
        <v>43</v>
      </c>
      <c r="I921" t="s">
        <v>105</v>
      </c>
      <c r="J921" t="s">
        <v>90</v>
      </c>
      <c r="K921" t="s">
        <v>45</v>
      </c>
      <c r="L921" t="str">
        <f t="shared" si="28"/>
        <v>Jan</v>
      </c>
      <c r="M921" t="str">
        <f t="shared" si="29"/>
        <v>Thursday</v>
      </c>
    </row>
    <row r="922" spans="1:13">
      <c r="A922" t="s">
        <v>1167</v>
      </c>
      <c r="B922" t="s">
        <v>65</v>
      </c>
      <c r="C922" t="s">
        <v>162</v>
      </c>
      <c r="D922" t="s">
        <v>29</v>
      </c>
      <c r="E922">
        <v>1799</v>
      </c>
      <c r="F922">
        <v>2</v>
      </c>
      <c r="G922">
        <v>3598</v>
      </c>
      <c r="H922" t="s">
        <v>43</v>
      </c>
      <c r="I922" t="s">
        <v>63</v>
      </c>
      <c r="J922" t="s">
        <v>17</v>
      </c>
      <c r="K922" t="s">
        <v>45</v>
      </c>
      <c r="L922" t="str">
        <f t="shared" si="28"/>
        <v>Jan</v>
      </c>
      <c r="M922" t="str">
        <f t="shared" si="29"/>
        <v>Thursday</v>
      </c>
    </row>
    <row r="923" spans="1:13">
      <c r="A923" t="s">
        <v>1168</v>
      </c>
      <c r="B923" t="s">
        <v>59</v>
      </c>
      <c r="C923" t="s">
        <v>36</v>
      </c>
      <c r="D923" t="s">
        <v>29</v>
      </c>
      <c r="E923">
        <v>1999</v>
      </c>
      <c r="F923">
        <v>2</v>
      </c>
      <c r="G923">
        <v>3998</v>
      </c>
      <c r="H923" t="s">
        <v>119</v>
      </c>
      <c r="I923" t="s">
        <v>63</v>
      </c>
      <c r="J923" t="s">
        <v>17</v>
      </c>
      <c r="K923" t="s">
        <v>18</v>
      </c>
      <c r="L923" t="str">
        <f t="shared" si="28"/>
        <v>Apr</v>
      </c>
      <c r="M923" t="str">
        <f t="shared" si="29"/>
        <v>Monday</v>
      </c>
    </row>
    <row r="924" spans="1:13">
      <c r="A924" t="s">
        <v>1169</v>
      </c>
      <c r="B924" t="s">
        <v>167</v>
      </c>
      <c r="C924" t="s">
        <v>70</v>
      </c>
      <c r="D924" t="s">
        <v>29</v>
      </c>
      <c r="E924">
        <v>799</v>
      </c>
      <c r="F924">
        <v>3</v>
      </c>
      <c r="G924">
        <v>2397</v>
      </c>
      <c r="H924" t="s">
        <v>30</v>
      </c>
      <c r="I924" t="s">
        <v>63</v>
      </c>
      <c r="J924" t="s">
        <v>17</v>
      </c>
      <c r="K924" t="s">
        <v>18</v>
      </c>
      <c r="L924" t="str">
        <f t="shared" si="28"/>
        <v>Mar</v>
      </c>
      <c r="M924" t="str">
        <f t="shared" si="29"/>
        <v>Thursday</v>
      </c>
    </row>
    <row r="925" spans="1:13">
      <c r="A925" t="s">
        <v>1170</v>
      </c>
      <c r="B925" t="s">
        <v>276</v>
      </c>
      <c r="C925" t="s">
        <v>76</v>
      </c>
      <c r="D925" t="s">
        <v>49</v>
      </c>
      <c r="E925">
        <v>1599</v>
      </c>
      <c r="F925">
        <v>1</v>
      </c>
      <c r="G925">
        <v>1599</v>
      </c>
      <c r="H925" t="s">
        <v>15</v>
      </c>
      <c r="I925" t="s">
        <v>77</v>
      </c>
      <c r="J925" t="s">
        <v>17</v>
      </c>
      <c r="K925" t="s">
        <v>18</v>
      </c>
      <c r="L925" t="str">
        <f t="shared" si="28"/>
        <v>Feb</v>
      </c>
      <c r="M925" t="str">
        <f t="shared" si="29"/>
        <v>Saturday</v>
      </c>
    </row>
    <row r="926" spans="1:13">
      <c r="A926" t="s">
        <v>1171</v>
      </c>
      <c r="B926" t="s">
        <v>109</v>
      </c>
      <c r="C926" t="s">
        <v>28</v>
      </c>
      <c r="D926" t="s">
        <v>29</v>
      </c>
      <c r="E926">
        <v>1299</v>
      </c>
      <c r="F926">
        <v>1</v>
      </c>
      <c r="G926">
        <v>1299</v>
      </c>
      <c r="H926" t="s">
        <v>186</v>
      </c>
      <c r="I926" t="s">
        <v>24</v>
      </c>
      <c r="J926" t="s">
        <v>38</v>
      </c>
      <c r="K926" t="s">
        <v>45</v>
      </c>
      <c r="L926" t="str">
        <f t="shared" si="28"/>
        <v>May</v>
      </c>
      <c r="M926" t="str">
        <f t="shared" si="29"/>
        <v>Friday</v>
      </c>
    </row>
    <row r="927" spans="1:13">
      <c r="A927" t="s">
        <v>1172</v>
      </c>
      <c r="B927" t="s">
        <v>132</v>
      </c>
      <c r="C927" t="s">
        <v>21</v>
      </c>
      <c r="D927" t="s">
        <v>22</v>
      </c>
      <c r="E927">
        <v>1499</v>
      </c>
      <c r="F927">
        <v>5</v>
      </c>
      <c r="G927">
        <v>7495</v>
      </c>
      <c r="H927" t="s">
        <v>43</v>
      </c>
      <c r="I927" t="s">
        <v>31</v>
      </c>
      <c r="J927" t="s">
        <v>90</v>
      </c>
      <c r="K927" t="s">
        <v>45</v>
      </c>
      <c r="L927" t="str">
        <f t="shared" si="28"/>
        <v>Mar</v>
      </c>
      <c r="M927" t="str">
        <f t="shared" si="29"/>
        <v>Friday</v>
      </c>
    </row>
    <row r="928" spans="1:13">
      <c r="A928" t="s">
        <v>1173</v>
      </c>
      <c r="B928" t="s">
        <v>196</v>
      </c>
      <c r="C928" t="s">
        <v>28</v>
      </c>
      <c r="D928" t="s">
        <v>29</v>
      </c>
      <c r="E928">
        <v>1299</v>
      </c>
      <c r="F928">
        <v>5</v>
      </c>
      <c r="G928">
        <v>6495</v>
      </c>
      <c r="H928" t="s">
        <v>157</v>
      </c>
      <c r="I928" t="s">
        <v>105</v>
      </c>
      <c r="J928" t="s">
        <v>17</v>
      </c>
      <c r="K928" t="s">
        <v>33</v>
      </c>
      <c r="L928" t="str">
        <f t="shared" si="28"/>
        <v>May</v>
      </c>
      <c r="M928" t="str">
        <f t="shared" si="29"/>
        <v>Friday</v>
      </c>
    </row>
    <row r="929" spans="1:13">
      <c r="A929" t="s">
        <v>1174</v>
      </c>
      <c r="B929" t="s">
        <v>100</v>
      </c>
      <c r="C929" t="s">
        <v>122</v>
      </c>
      <c r="D929" t="s">
        <v>29</v>
      </c>
      <c r="E929">
        <v>1299</v>
      </c>
      <c r="F929">
        <v>1</v>
      </c>
      <c r="G929">
        <v>1299</v>
      </c>
      <c r="H929" t="s">
        <v>71</v>
      </c>
      <c r="I929" t="s">
        <v>24</v>
      </c>
      <c r="J929" t="s">
        <v>25</v>
      </c>
      <c r="K929" t="s">
        <v>45</v>
      </c>
      <c r="L929" t="str">
        <f t="shared" si="28"/>
        <v>Jan</v>
      </c>
      <c r="M929" t="str">
        <f t="shared" si="29"/>
        <v>Friday</v>
      </c>
    </row>
    <row r="930" spans="1:13">
      <c r="A930" t="s">
        <v>1175</v>
      </c>
      <c r="B930" t="s">
        <v>510</v>
      </c>
      <c r="C930" t="s">
        <v>80</v>
      </c>
      <c r="D930" t="s">
        <v>81</v>
      </c>
      <c r="E930">
        <v>299</v>
      </c>
      <c r="F930">
        <v>4</v>
      </c>
      <c r="G930">
        <v>1196</v>
      </c>
      <c r="H930" t="s">
        <v>157</v>
      </c>
      <c r="I930" t="s">
        <v>44</v>
      </c>
      <c r="J930" t="s">
        <v>90</v>
      </c>
      <c r="K930" t="s">
        <v>18</v>
      </c>
      <c r="L930" t="str">
        <f t="shared" si="28"/>
        <v>Jan</v>
      </c>
      <c r="M930" t="str">
        <f t="shared" si="29"/>
        <v>Monday</v>
      </c>
    </row>
    <row r="931" spans="1:13">
      <c r="A931" t="s">
        <v>1176</v>
      </c>
      <c r="B931" t="s">
        <v>20</v>
      </c>
      <c r="C931" t="s">
        <v>70</v>
      </c>
      <c r="D931" t="s">
        <v>29</v>
      </c>
      <c r="E931">
        <v>799</v>
      </c>
      <c r="F931">
        <v>5</v>
      </c>
      <c r="G931">
        <v>3995</v>
      </c>
      <c r="H931" t="s">
        <v>95</v>
      </c>
      <c r="I931" t="s">
        <v>24</v>
      </c>
      <c r="J931" t="s">
        <v>17</v>
      </c>
      <c r="K931" t="s">
        <v>18</v>
      </c>
      <c r="L931" t="str">
        <f t="shared" si="28"/>
        <v>Jun</v>
      </c>
      <c r="M931" t="str">
        <f t="shared" si="29"/>
        <v>Friday</v>
      </c>
    </row>
    <row r="932" spans="1:13">
      <c r="A932" t="s">
        <v>1177</v>
      </c>
      <c r="B932" t="s">
        <v>485</v>
      </c>
      <c r="C932" t="s">
        <v>21</v>
      </c>
      <c r="D932" t="s">
        <v>22</v>
      </c>
      <c r="E932">
        <v>1499</v>
      </c>
      <c r="F932">
        <v>4</v>
      </c>
      <c r="G932">
        <v>5996</v>
      </c>
      <c r="H932" t="s">
        <v>62</v>
      </c>
      <c r="I932" t="s">
        <v>31</v>
      </c>
      <c r="J932" t="s">
        <v>90</v>
      </c>
      <c r="K932" t="s">
        <v>18</v>
      </c>
      <c r="L932" t="str">
        <f t="shared" si="28"/>
        <v>Jan</v>
      </c>
      <c r="M932" t="str">
        <f t="shared" si="29"/>
        <v>Sunday</v>
      </c>
    </row>
    <row r="933" spans="1:13">
      <c r="A933" t="s">
        <v>1178</v>
      </c>
      <c r="B933" t="s">
        <v>587</v>
      </c>
      <c r="C933" t="s">
        <v>13</v>
      </c>
      <c r="D933" t="s">
        <v>14</v>
      </c>
      <c r="E933">
        <v>2499</v>
      </c>
      <c r="F933">
        <v>3</v>
      </c>
      <c r="G933">
        <v>7497</v>
      </c>
      <c r="H933" t="s">
        <v>37</v>
      </c>
      <c r="I933" t="s">
        <v>105</v>
      </c>
      <c r="J933" t="s">
        <v>25</v>
      </c>
      <c r="K933" t="s">
        <v>45</v>
      </c>
      <c r="L933" t="str">
        <f t="shared" si="28"/>
        <v>Jun</v>
      </c>
      <c r="M933" t="str">
        <f t="shared" si="29"/>
        <v>Monday</v>
      </c>
    </row>
    <row r="934" spans="1:13">
      <c r="A934" t="s">
        <v>1179</v>
      </c>
      <c r="B934" t="s">
        <v>381</v>
      </c>
      <c r="C934" t="s">
        <v>21</v>
      </c>
      <c r="D934" t="s">
        <v>22</v>
      </c>
      <c r="E934">
        <v>1499</v>
      </c>
      <c r="F934">
        <v>4</v>
      </c>
      <c r="G934">
        <v>5996</v>
      </c>
      <c r="H934" t="s">
        <v>62</v>
      </c>
      <c r="I934" t="s">
        <v>44</v>
      </c>
      <c r="J934" t="s">
        <v>17</v>
      </c>
      <c r="K934" t="s">
        <v>45</v>
      </c>
      <c r="L934" t="str">
        <f t="shared" si="28"/>
        <v>Apr</v>
      </c>
      <c r="M934" t="str">
        <f t="shared" si="29"/>
        <v>Thursday</v>
      </c>
    </row>
    <row r="935" spans="1:13">
      <c r="A935" t="s">
        <v>1180</v>
      </c>
      <c r="B935" t="s">
        <v>406</v>
      </c>
      <c r="C935" t="s">
        <v>135</v>
      </c>
      <c r="D935" t="s">
        <v>29</v>
      </c>
      <c r="E935">
        <v>3999</v>
      </c>
      <c r="F935">
        <v>2</v>
      </c>
      <c r="G935">
        <v>7998</v>
      </c>
      <c r="H935" t="s">
        <v>102</v>
      </c>
      <c r="I935" t="s">
        <v>105</v>
      </c>
      <c r="J935" t="s">
        <v>38</v>
      </c>
      <c r="K935" t="s">
        <v>18</v>
      </c>
      <c r="L935" t="str">
        <f t="shared" si="28"/>
        <v>Feb</v>
      </c>
      <c r="M935" t="str">
        <f t="shared" si="29"/>
        <v>Wednesday</v>
      </c>
    </row>
    <row r="936" spans="1:13">
      <c r="A936" t="s">
        <v>1181</v>
      </c>
      <c r="B936" t="s">
        <v>200</v>
      </c>
      <c r="C936" t="s">
        <v>48</v>
      </c>
      <c r="D936" t="s">
        <v>49</v>
      </c>
      <c r="E936">
        <v>699</v>
      </c>
      <c r="F936">
        <v>3</v>
      </c>
      <c r="G936">
        <v>2097</v>
      </c>
      <c r="H936" t="s">
        <v>71</v>
      </c>
      <c r="I936" t="s">
        <v>67</v>
      </c>
      <c r="J936" t="s">
        <v>17</v>
      </c>
      <c r="K936" t="s">
        <v>45</v>
      </c>
      <c r="L936" t="str">
        <f t="shared" si="28"/>
        <v>Apr</v>
      </c>
      <c r="M936" t="str">
        <f t="shared" si="29"/>
        <v>Friday</v>
      </c>
    </row>
    <row r="937" spans="1:13">
      <c r="A937" t="s">
        <v>1182</v>
      </c>
      <c r="B937" t="s">
        <v>231</v>
      </c>
      <c r="C937" t="s">
        <v>101</v>
      </c>
      <c r="D937" t="s">
        <v>81</v>
      </c>
      <c r="E937">
        <v>499</v>
      </c>
      <c r="F937">
        <v>3</v>
      </c>
      <c r="G937">
        <v>1497</v>
      </c>
      <c r="H937" t="s">
        <v>43</v>
      </c>
      <c r="I937" t="s">
        <v>67</v>
      </c>
      <c r="J937" t="s">
        <v>17</v>
      </c>
      <c r="K937" t="s">
        <v>18</v>
      </c>
      <c r="L937" t="str">
        <f t="shared" si="28"/>
        <v>May</v>
      </c>
      <c r="M937" t="str">
        <f t="shared" si="29"/>
        <v>Saturday</v>
      </c>
    </row>
    <row r="938" spans="1:13">
      <c r="A938" t="s">
        <v>1183</v>
      </c>
      <c r="B938" t="s">
        <v>1125</v>
      </c>
      <c r="C938" t="s">
        <v>21</v>
      </c>
      <c r="D938" t="s">
        <v>22</v>
      </c>
      <c r="E938">
        <v>1499</v>
      </c>
      <c r="F938">
        <v>1</v>
      </c>
      <c r="G938">
        <v>1499</v>
      </c>
      <c r="H938" t="s">
        <v>30</v>
      </c>
      <c r="I938" t="s">
        <v>98</v>
      </c>
      <c r="J938" t="s">
        <v>17</v>
      </c>
      <c r="K938" t="s">
        <v>18</v>
      </c>
      <c r="L938" t="str">
        <f t="shared" si="28"/>
        <v>Jun</v>
      </c>
      <c r="M938" t="str">
        <f t="shared" si="29"/>
        <v>Wednesday</v>
      </c>
    </row>
    <row r="939" spans="1:13">
      <c r="A939" t="s">
        <v>1184</v>
      </c>
      <c r="B939" t="s">
        <v>1185</v>
      </c>
      <c r="C939" t="s">
        <v>52</v>
      </c>
      <c r="D939" t="s">
        <v>53</v>
      </c>
      <c r="E939">
        <v>199</v>
      </c>
      <c r="F939">
        <v>3</v>
      </c>
      <c r="G939">
        <v>597</v>
      </c>
      <c r="H939" t="s">
        <v>157</v>
      </c>
      <c r="I939" t="s">
        <v>16</v>
      </c>
      <c r="J939" t="s">
        <v>90</v>
      </c>
      <c r="K939" t="s">
        <v>18</v>
      </c>
      <c r="L939" t="str">
        <f t="shared" si="28"/>
        <v>Jan</v>
      </c>
      <c r="M939" t="str">
        <f t="shared" si="29"/>
        <v>Sunday</v>
      </c>
    </row>
    <row r="940" spans="1:13">
      <c r="A940" t="s">
        <v>1186</v>
      </c>
      <c r="B940" t="s">
        <v>79</v>
      </c>
      <c r="C940" t="s">
        <v>60</v>
      </c>
      <c r="D940" t="s">
        <v>61</v>
      </c>
      <c r="E940">
        <v>899</v>
      </c>
      <c r="F940">
        <v>5</v>
      </c>
      <c r="G940">
        <v>4495</v>
      </c>
      <c r="H940" t="s">
        <v>37</v>
      </c>
      <c r="I940" t="s">
        <v>31</v>
      </c>
      <c r="J940" t="s">
        <v>32</v>
      </c>
      <c r="K940" t="s">
        <v>18</v>
      </c>
      <c r="L940" t="str">
        <f t="shared" si="28"/>
        <v>Jan</v>
      </c>
      <c r="M940" t="str">
        <f t="shared" si="29"/>
        <v>Wednesday</v>
      </c>
    </row>
    <row r="941" spans="1:13">
      <c r="A941" t="s">
        <v>1187</v>
      </c>
      <c r="B941" t="s">
        <v>508</v>
      </c>
      <c r="C941" t="s">
        <v>87</v>
      </c>
      <c r="D941" t="s">
        <v>88</v>
      </c>
      <c r="E941">
        <v>5499</v>
      </c>
      <c r="F941">
        <v>4</v>
      </c>
      <c r="G941">
        <v>21996</v>
      </c>
      <c r="H941" t="s">
        <v>56</v>
      </c>
      <c r="I941" t="s">
        <v>24</v>
      </c>
      <c r="J941" t="s">
        <v>32</v>
      </c>
      <c r="K941" t="s">
        <v>33</v>
      </c>
      <c r="L941" t="str">
        <f t="shared" si="28"/>
        <v>May</v>
      </c>
      <c r="M941" t="str">
        <f t="shared" si="29"/>
        <v>Thursday</v>
      </c>
    </row>
    <row r="942" spans="1:13">
      <c r="A942" t="s">
        <v>1188</v>
      </c>
      <c r="B942" t="s">
        <v>198</v>
      </c>
      <c r="C942" t="s">
        <v>76</v>
      </c>
      <c r="D942" t="s">
        <v>49</v>
      </c>
      <c r="E942">
        <v>1599</v>
      </c>
      <c r="F942">
        <v>3</v>
      </c>
      <c r="G942">
        <v>4797</v>
      </c>
      <c r="H942" t="s">
        <v>157</v>
      </c>
      <c r="I942" t="s">
        <v>57</v>
      </c>
      <c r="J942" t="s">
        <v>25</v>
      </c>
      <c r="K942" t="s">
        <v>18</v>
      </c>
      <c r="L942" t="str">
        <f t="shared" si="28"/>
        <v>May</v>
      </c>
      <c r="M942" t="str">
        <f t="shared" si="29"/>
        <v>Tuesday</v>
      </c>
    </row>
    <row r="943" spans="1:13">
      <c r="A943" t="s">
        <v>1189</v>
      </c>
      <c r="B943" t="s">
        <v>340</v>
      </c>
      <c r="C943" t="s">
        <v>162</v>
      </c>
      <c r="D943" t="s">
        <v>29</v>
      </c>
      <c r="E943">
        <v>1799</v>
      </c>
      <c r="F943">
        <v>4</v>
      </c>
      <c r="G943">
        <v>7196</v>
      </c>
      <c r="H943" t="s">
        <v>186</v>
      </c>
      <c r="I943" t="s">
        <v>125</v>
      </c>
      <c r="J943" t="s">
        <v>32</v>
      </c>
      <c r="K943" t="s">
        <v>18</v>
      </c>
      <c r="L943" t="str">
        <f t="shared" si="28"/>
        <v>May</v>
      </c>
      <c r="M943" t="str">
        <f t="shared" si="29"/>
        <v>Saturday</v>
      </c>
    </row>
    <row r="944" spans="1:13">
      <c r="A944" t="s">
        <v>1190</v>
      </c>
      <c r="B944" t="s">
        <v>100</v>
      </c>
      <c r="C944" t="s">
        <v>28</v>
      </c>
      <c r="D944" t="s">
        <v>29</v>
      </c>
      <c r="E944">
        <v>1299</v>
      </c>
      <c r="F944">
        <v>1</v>
      </c>
      <c r="G944">
        <v>1299</v>
      </c>
      <c r="H944" t="s">
        <v>186</v>
      </c>
      <c r="I944" t="s">
        <v>24</v>
      </c>
      <c r="J944" t="s">
        <v>17</v>
      </c>
      <c r="K944" t="s">
        <v>45</v>
      </c>
      <c r="L944" t="str">
        <f t="shared" si="28"/>
        <v>Jan</v>
      </c>
      <c r="M944" t="str">
        <f t="shared" si="29"/>
        <v>Friday</v>
      </c>
    </row>
    <row r="945" spans="1:13">
      <c r="A945" t="s">
        <v>1191</v>
      </c>
      <c r="B945" t="s">
        <v>340</v>
      </c>
      <c r="C945" t="s">
        <v>52</v>
      </c>
      <c r="D945" t="s">
        <v>53</v>
      </c>
      <c r="E945">
        <v>199</v>
      </c>
      <c r="F945">
        <v>4</v>
      </c>
      <c r="G945">
        <v>796</v>
      </c>
      <c r="H945" t="s">
        <v>102</v>
      </c>
      <c r="I945" t="s">
        <v>16</v>
      </c>
      <c r="J945" t="s">
        <v>90</v>
      </c>
      <c r="K945" t="s">
        <v>18</v>
      </c>
      <c r="L945" t="str">
        <f t="shared" si="28"/>
        <v>May</v>
      </c>
      <c r="M945" t="str">
        <f t="shared" si="29"/>
        <v>Saturday</v>
      </c>
    </row>
    <row r="946" spans="1:13">
      <c r="A946" t="s">
        <v>1192</v>
      </c>
      <c r="B946" t="s">
        <v>389</v>
      </c>
      <c r="C946" t="s">
        <v>162</v>
      </c>
      <c r="D946" t="s">
        <v>29</v>
      </c>
      <c r="E946">
        <v>1799</v>
      </c>
      <c r="F946">
        <v>5</v>
      </c>
      <c r="G946">
        <v>8995</v>
      </c>
      <c r="H946" t="s">
        <v>66</v>
      </c>
      <c r="I946" t="s">
        <v>31</v>
      </c>
      <c r="J946" t="s">
        <v>38</v>
      </c>
      <c r="K946" t="s">
        <v>18</v>
      </c>
      <c r="L946" t="str">
        <f t="shared" si="28"/>
        <v>Jun</v>
      </c>
      <c r="M946" t="str">
        <f t="shared" si="29"/>
        <v>Tuesday</v>
      </c>
    </row>
    <row r="947" spans="1:13">
      <c r="A947" t="s">
        <v>1193</v>
      </c>
      <c r="B947" t="s">
        <v>748</v>
      </c>
      <c r="C947" t="s">
        <v>101</v>
      </c>
      <c r="D947" t="s">
        <v>81</v>
      </c>
      <c r="E947">
        <v>499</v>
      </c>
      <c r="F947">
        <v>5</v>
      </c>
      <c r="G947">
        <v>2495</v>
      </c>
      <c r="H947" t="s">
        <v>15</v>
      </c>
      <c r="I947" t="s">
        <v>98</v>
      </c>
      <c r="J947" t="s">
        <v>32</v>
      </c>
      <c r="K947" t="s">
        <v>18</v>
      </c>
      <c r="L947" t="str">
        <f t="shared" si="28"/>
        <v>Mar</v>
      </c>
      <c r="M947" t="str">
        <f t="shared" si="29"/>
        <v>Tuesday</v>
      </c>
    </row>
    <row r="948" spans="1:13">
      <c r="A948" t="s">
        <v>1194</v>
      </c>
      <c r="B948" t="s">
        <v>116</v>
      </c>
      <c r="C948" t="s">
        <v>21</v>
      </c>
      <c r="D948" t="s">
        <v>22</v>
      </c>
      <c r="E948">
        <v>1499</v>
      </c>
      <c r="F948">
        <v>1</v>
      </c>
      <c r="G948">
        <v>1499</v>
      </c>
      <c r="H948" t="s">
        <v>186</v>
      </c>
      <c r="I948" t="s">
        <v>16</v>
      </c>
      <c r="J948" t="s">
        <v>32</v>
      </c>
      <c r="K948" t="s">
        <v>18</v>
      </c>
      <c r="L948" t="str">
        <f t="shared" si="28"/>
        <v>Jan</v>
      </c>
      <c r="M948" t="str">
        <f t="shared" si="29"/>
        <v>Sunday</v>
      </c>
    </row>
    <row r="949" spans="1:13">
      <c r="A949" t="s">
        <v>1195</v>
      </c>
      <c r="B949" t="s">
        <v>227</v>
      </c>
      <c r="C949" t="s">
        <v>122</v>
      </c>
      <c r="D949" t="s">
        <v>29</v>
      </c>
      <c r="E949">
        <v>1299</v>
      </c>
      <c r="F949">
        <v>4</v>
      </c>
      <c r="G949">
        <v>5196</v>
      </c>
      <c r="H949" t="s">
        <v>95</v>
      </c>
      <c r="I949" t="s">
        <v>57</v>
      </c>
      <c r="J949" t="s">
        <v>38</v>
      </c>
      <c r="K949" t="s">
        <v>33</v>
      </c>
      <c r="L949" t="str">
        <f t="shared" si="28"/>
        <v>Jan</v>
      </c>
      <c r="M949" t="str">
        <f t="shared" si="29"/>
        <v>Sunday</v>
      </c>
    </row>
    <row r="950" spans="1:13">
      <c r="A950" t="s">
        <v>1196</v>
      </c>
      <c r="B950" t="s">
        <v>113</v>
      </c>
      <c r="C950" t="s">
        <v>70</v>
      </c>
      <c r="D950" t="s">
        <v>29</v>
      </c>
      <c r="E950">
        <v>799</v>
      </c>
      <c r="F950">
        <v>3</v>
      </c>
      <c r="G950">
        <v>2397</v>
      </c>
      <c r="H950" t="s">
        <v>30</v>
      </c>
      <c r="I950" t="s">
        <v>105</v>
      </c>
      <c r="J950" t="s">
        <v>17</v>
      </c>
      <c r="K950" t="s">
        <v>18</v>
      </c>
      <c r="L950" t="str">
        <f t="shared" si="28"/>
        <v>May</v>
      </c>
      <c r="M950" t="str">
        <f t="shared" si="29"/>
        <v>Monday</v>
      </c>
    </row>
    <row r="951" spans="1:13">
      <c r="A951" t="s">
        <v>1197</v>
      </c>
      <c r="B951" t="s">
        <v>40</v>
      </c>
      <c r="C951" t="s">
        <v>162</v>
      </c>
      <c r="D951" t="s">
        <v>29</v>
      </c>
      <c r="E951">
        <v>1799</v>
      </c>
      <c r="F951">
        <v>5</v>
      </c>
      <c r="G951">
        <v>8995</v>
      </c>
      <c r="H951" t="s">
        <v>186</v>
      </c>
      <c r="I951" t="s">
        <v>57</v>
      </c>
      <c r="J951" t="s">
        <v>25</v>
      </c>
      <c r="K951" t="s">
        <v>33</v>
      </c>
      <c r="L951" t="str">
        <f t="shared" si="28"/>
        <v>Mar</v>
      </c>
      <c r="M951" t="str">
        <f t="shared" si="29"/>
        <v>Friday</v>
      </c>
    </row>
    <row r="952" spans="1:13">
      <c r="A952" t="s">
        <v>1198</v>
      </c>
      <c r="B952" t="s">
        <v>431</v>
      </c>
      <c r="C952" t="s">
        <v>36</v>
      </c>
      <c r="D952" t="s">
        <v>29</v>
      </c>
      <c r="E952">
        <v>1999</v>
      </c>
      <c r="F952">
        <v>2</v>
      </c>
      <c r="G952">
        <v>3998</v>
      </c>
      <c r="H952" t="s">
        <v>62</v>
      </c>
      <c r="I952" t="s">
        <v>31</v>
      </c>
      <c r="J952" t="s">
        <v>38</v>
      </c>
      <c r="K952" t="s">
        <v>18</v>
      </c>
      <c r="L952" t="str">
        <f t="shared" si="28"/>
        <v>Feb</v>
      </c>
      <c r="M952" t="str">
        <f t="shared" si="29"/>
        <v>Thursday</v>
      </c>
    </row>
    <row r="953" spans="1:13">
      <c r="A953" t="s">
        <v>1199</v>
      </c>
      <c r="B953" t="s">
        <v>73</v>
      </c>
      <c r="C953" t="s">
        <v>162</v>
      </c>
      <c r="D953" t="s">
        <v>29</v>
      </c>
      <c r="E953">
        <v>1799</v>
      </c>
      <c r="F953">
        <v>2</v>
      </c>
      <c r="G953">
        <v>3598</v>
      </c>
      <c r="H953" t="s">
        <v>15</v>
      </c>
      <c r="I953" t="s">
        <v>125</v>
      </c>
      <c r="J953" t="s">
        <v>17</v>
      </c>
      <c r="K953" t="s">
        <v>18</v>
      </c>
      <c r="L953" t="str">
        <f t="shared" si="28"/>
        <v>Feb</v>
      </c>
      <c r="M953" t="str">
        <f t="shared" si="29"/>
        <v>Thursday</v>
      </c>
    </row>
    <row r="954" spans="1:13">
      <c r="A954" t="s">
        <v>1200</v>
      </c>
      <c r="B954" t="s">
        <v>281</v>
      </c>
      <c r="C954" t="s">
        <v>76</v>
      </c>
      <c r="D954" t="s">
        <v>49</v>
      </c>
      <c r="E954">
        <v>1599</v>
      </c>
      <c r="F954">
        <v>4</v>
      </c>
      <c r="G954">
        <v>6396</v>
      </c>
      <c r="H954" t="s">
        <v>71</v>
      </c>
      <c r="I954" t="s">
        <v>44</v>
      </c>
      <c r="J954" t="s">
        <v>32</v>
      </c>
      <c r="K954" t="s">
        <v>18</v>
      </c>
      <c r="L954" t="str">
        <f t="shared" si="28"/>
        <v>Apr</v>
      </c>
      <c r="M954" t="str">
        <f t="shared" si="29"/>
        <v>Saturday</v>
      </c>
    </row>
    <row r="955" spans="1:13">
      <c r="A955" t="s">
        <v>1201</v>
      </c>
      <c r="B955" t="s">
        <v>139</v>
      </c>
      <c r="C955" t="s">
        <v>28</v>
      </c>
      <c r="D955" t="s">
        <v>29</v>
      </c>
      <c r="E955">
        <v>1299</v>
      </c>
      <c r="F955">
        <v>1</v>
      </c>
      <c r="G955">
        <v>1299</v>
      </c>
      <c r="H955" t="s">
        <v>30</v>
      </c>
      <c r="I955" t="s">
        <v>77</v>
      </c>
      <c r="J955" t="s">
        <v>25</v>
      </c>
      <c r="K955" t="s">
        <v>18</v>
      </c>
      <c r="L955" t="str">
        <f t="shared" si="28"/>
        <v>Mar</v>
      </c>
      <c r="M955" t="str">
        <f t="shared" si="29"/>
        <v>Saturday</v>
      </c>
    </row>
    <row r="956" spans="1:13">
      <c r="A956" t="s">
        <v>1202</v>
      </c>
      <c r="B956" t="s">
        <v>175</v>
      </c>
      <c r="C956" t="s">
        <v>48</v>
      </c>
      <c r="D956" t="s">
        <v>49</v>
      </c>
      <c r="E956">
        <v>699</v>
      </c>
      <c r="F956">
        <v>3</v>
      </c>
      <c r="G956">
        <v>2097</v>
      </c>
      <c r="H956" t="s">
        <v>119</v>
      </c>
      <c r="I956" t="s">
        <v>67</v>
      </c>
      <c r="J956" t="s">
        <v>32</v>
      </c>
      <c r="K956" t="s">
        <v>45</v>
      </c>
      <c r="L956" t="str">
        <f t="shared" si="28"/>
        <v>May</v>
      </c>
      <c r="M956" t="str">
        <f t="shared" si="29"/>
        <v>Thursday</v>
      </c>
    </row>
    <row r="957" spans="1:13">
      <c r="A957" t="s">
        <v>1203</v>
      </c>
      <c r="B957" t="s">
        <v>300</v>
      </c>
      <c r="C957" t="s">
        <v>101</v>
      </c>
      <c r="D957" t="s">
        <v>81</v>
      </c>
      <c r="E957">
        <v>499</v>
      </c>
      <c r="F957">
        <v>2</v>
      </c>
      <c r="G957">
        <v>998</v>
      </c>
      <c r="H957" t="s">
        <v>119</v>
      </c>
      <c r="I957" t="s">
        <v>63</v>
      </c>
      <c r="J957" t="s">
        <v>32</v>
      </c>
      <c r="K957" t="s">
        <v>45</v>
      </c>
      <c r="L957" t="str">
        <f t="shared" si="28"/>
        <v>Jan</v>
      </c>
      <c r="M957" t="str">
        <f t="shared" si="29"/>
        <v>Friday</v>
      </c>
    </row>
    <row r="958" spans="1:13">
      <c r="A958" t="s">
        <v>1204</v>
      </c>
      <c r="B958" t="s">
        <v>630</v>
      </c>
      <c r="C958" t="s">
        <v>70</v>
      </c>
      <c r="D958" t="s">
        <v>29</v>
      </c>
      <c r="E958">
        <v>799</v>
      </c>
      <c r="F958">
        <v>4</v>
      </c>
      <c r="G958">
        <v>3196</v>
      </c>
      <c r="H958" t="s">
        <v>66</v>
      </c>
      <c r="I958" t="s">
        <v>82</v>
      </c>
      <c r="J958" t="s">
        <v>38</v>
      </c>
      <c r="K958" t="s">
        <v>18</v>
      </c>
      <c r="L958" t="str">
        <f t="shared" si="28"/>
        <v>Jan</v>
      </c>
      <c r="M958" t="str">
        <f t="shared" si="29"/>
        <v>Monday</v>
      </c>
    </row>
    <row r="959" spans="1:13">
      <c r="A959" t="s">
        <v>1205</v>
      </c>
      <c r="B959" t="s">
        <v>203</v>
      </c>
      <c r="C959" t="s">
        <v>101</v>
      </c>
      <c r="D959" t="s">
        <v>81</v>
      </c>
      <c r="E959">
        <v>499</v>
      </c>
      <c r="F959">
        <v>4</v>
      </c>
      <c r="G959">
        <v>1996</v>
      </c>
      <c r="H959" t="s">
        <v>43</v>
      </c>
      <c r="I959" t="s">
        <v>67</v>
      </c>
      <c r="J959" t="s">
        <v>17</v>
      </c>
      <c r="K959" t="s">
        <v>33</v>
      </c>
      <c r="L959" t="str">
        <f t="shared" si="28"/>
        <v>Feb</v>
      </c>
      <c r="M959" t="str">
        <f t="shared" si="29"/>
        <v>Friday</v>
      </c>
    </row>
    <row r="960" spans="1:13">
      <c r="A960" t="s">
        <v>1206</v>
      </c>
      <c r="B960" t="s">
        <v>237</v>
      </c>
      <c r="C960" t="s">
        <v>122</v>
      </c>
      <c r="D960" t="s">
        <v>29</v>
      </c>
      <c r="E960">
        <v>1299</v>
      </c>
      <c r="F960">
        <v>4</v>
      </c>
      <c r="G960">
        <v>5196</v>
      </c>
      <c r="H960" t="s">
        <v>62</v>
      </c>
      <c r="I960" t="s">
        <v>63</v>
      </c>
      <c r="J960" t="s">
        <v>38</v>
      </c>
      <c r="K960" t="s">
        <v>45</v>
      </c>
      <c r="L960" t="str">
        <f t="shared" si="28"/>
        <v>Jan</v>
      </c>
      <c r="M960" t="str">
        <f t="shared" si="29"/>
        <v>Thursday</v>
      </c>
    </row>
    <row r="961" spans="1:13">
      <c r="A961" t="s">
        <v>1207</v>
      </c>
      <c r="B961" t="s">
        <v>279</v>
      </c>
      <c r="C961" t="s">
        <v>21</v>
      </c>
      <c r="D961" t="s">
        <v>22</v>
      </c>
      <c r="E961">
        <v>1499</v>
      </c>
      <c r="F961">
        <v>4</v>
      </c>
      <c r="G961">
        <v>5996</v>
      </c>
      <c r="H961" t="s">
        <v>30</v>
      </c>
      <c r="I961" t="s">
        <v>63</v>
      </c>
      <c r="J961" t="s">
        <v>90</v>
      </c>
      <c r="K961" t="s">
        <v>18</v>
      </c>
      <c r="L961" t="str">
        <f t="shared" si="28"/>
        <v>May</v>
      </c>
      <c r="M961" t="str">
        <f t="shared" si="29"/>
        <v>Sunday</v>
      </c>
    </row>
    <row r="962" spans="1:13">
      <c r="A962" t="s">
        <v>1208</v>
      </c>
      <c r="B962" t="s">
        <v>431</v>
      </c>
      <c r="C962" t="s">
        <v>76</v>
      </c>
      <c r="D962" t="s">
        <v>49</v>
      </c>
      <c r="E962">
        <v>1599</v>
      </c>
      <c r="F962">
        <v>3</v>
      </c>
      <c r="G962">
        <v>4797</v>
      </c>
      <c r="H962" t="s">
        <v>157</v>
      </c>
      <c r="I962" t="s">
        <v>77</v>
      </c>
      <c r="J962" t="s">
        <v>38</v>
      </c>
      <c r="K962" t="s">
        <v>18</v>
      </c>
      <c r="L962" t="str">
        <f t="shared" si="28"/>
        <v>Feb</v>
      </c>
      <c r="M962" t="str">
        <f t="shared" si="29"/>
        <v>Thursday</v>
      </c>
    </row>
    <row r="963" spans="1:13">
      <c r="A963" t="s">
        <v>1209</v>
      </c>
      <c r="B963" t="s">
        <v>250</v>
      </c>
      <c r="C963" t="s">
        <v>135</v>
      </c>
      <c r="D963" t="s">
        <v>29</v>
      </c>
      <c r="E963">
        <v>3999</v>
      </c>
      <c r="F963">
        <v>1</v>
      </c>
      <c r="G963">
        <v>3999</v>
      </c>
      <c r="H963" t="s">
        <v>43</v>
      </c>
      <c r="I963" t="s">
        <v>67</v>
      </c>
      <c r="J963" t="s">
        <v>38</v>
      </c>
      <c r="K963" t="s">
        <v>18</v>
      </c>
      <c r="L963" t="str">
        <f t="shared" ref="L963:L1003" si="30">TEXT(B963,"MMM")</f>
        <v>Jan</v>
      </c>
      <c r="M963" t="str">
        <f t="shared" ref="M963:M1001" si="31">TEXT(B963,"dddd")</f>
        <v>Thursday</v>
      </c>
    </row>
    <row r="964" spans="1:13">
      <c r="A964" t="s">
        <v>1210</v>
      </c>
      <c r="B964" t="s">
        <v>84</v>
      </c>
      <c r="C964" t="s">
        <v>28</v>
      </c>
      <c r="D964" t="s">
        <v>29</v>
      </c>
      <c r="E964">
        <v>1299</v>
      </c>
      <c r="F964">
        <v>2</v>
      </c>
      <c r="G964">
        <v>2598</v>
      </c>
      <c r="H964" t="s">
        <v>157</v>
      </c>
      <c r="I964" t="s">
        <v>16</v>
      </c>
      <c r="J964" t="s">
        <v>32</v>
      </c>
      <c r="K964" t="s">
        <v>45</v>
      </c>
      <c r="L964" t="str">
        <f t="shared" si="30"/>
        <v>Mar</v>
      </c>
      <c r="M964" t="str">
        <f t="shared" si="31"/>
        <v>Saturday</v>
      </c>
    </row>
    <row r="965" spans="1:13">
      <c r="A965" t="s">
        <v>1211</v>
      </c>
      <c r="B965" t="s">
        <v>413</v>
      </c>
      <c r="C965" t="s">
        <v>21</v>
      </c>
      <c r="D965" t="s">
        <v>22</v>
      </c>
      <c r="E965">
        <v>1499</v>
      </c>
      <c r="F965">
        <v>1</v>
      </c>
      <c r="G965">
        <v>1499</v>
      </c>
      <c r="H965" t="s">
        <v>186</v>
      </c>
      <c r="I965" t="s">
        <v>125</v>
      </c>
      <c r="J965" t="s">
        <v>17</v>
      </c>
      <c r="K965" t="s">
        <v>18</v>
      </c>
      <c r="L965" t="str">
        <f t="shared" si="30"/>
        <v>Apr</v>
      </c>
      <c r="M965" t="str">
        <f t="shared" si="31"/>
        <v>Thursday</v>
      </c>
    </row>
    <row r="966" spans="1:13">
      <c r="A966" t="s">
        <v>1212</v>
      </c>
      <c r="B966" t="s">
        <v>387</v>
      </c>
      <c r="C966" t="s">
        <v>162</v>
      </c>
      <c r="D966" t="s">
        <v>29</v>
      </c>
      <c r="E966">
        <v>1799</v>
      </c>
      <c r="F966">
        <v>5</v>
      </c>
      <c r="G966">
        <v>8995</v>
      </c>
      <c r="H966" t="s">
        <v>15</v>
      </c>
      <c r="I966" t="s">
        <v>24</v>
      </c>
      <c r="J966" t="s">
        <v>17</v>
      </c>
      <c r="K966" t="s">
        <v>18</v>
      </c>
      <c r="L966" t="str">
        <f t="shared" si="30"/>
        <v>Jun</v>
      </c>
      <c r="M966" t="str">
        <f t="shared" si="31"/>
        <v>Sunday</v>
      </c>
    </row>
    <row r="967" spans="1:13">
      <c r="A967" t="s">
        <v>1213</v>
      </c>
      <c r="B967" t="s">
        <v>75</v>
      </c>
      <c r="C967" t="s">
        <v>52</v>
      </c>
      <c r="D967" t="s">
        <v>53</v>
      </c>
      <c r="E967">
        <v>199</v>
      </c>
      <c r="F967">
        <v>3</v>
      </c>
      <c r="G967">
        <v>597</v>
      </c>
      <c r="H967" t="s">
        <v>23</v>
      </c>
      <c r="I967" t="s">
        <v>63</v>
      </c>
      <c r="J967" t="s">
        <v>38</v>
      </c>
      <c r="K967" t="s">
        <v>18</v>
      </c>
      <c r="L967" t="str">
        <f t="shared" si="30"/>
        <v>Jun</v>
      </c>
      <c r="M967" t="str">
        <f t="shared" si="31"/>
        <v>Thursday</v>
      </c>
    </row>
    <row r="968" spans="1:13">
      <c r="A968" t="s">
        <v>1214</v>
      </c>
      <c r="B968" t="s">
        <v>86</v>
      </c>
      <c r="C968" t="s">
        <v>80</v>
      </c>
      <c r="D968" t="s">
        <v>81</v>
      </c>
      <c r="E968">
        <v>299</v>
      </c>
      <c r="F968">
        <v>1</v>
      </c>
      <c r="G968">
        <v>299</v>
      </c>
      <c r="H968" t="s">
        <v>186</v>
      </c>
      <c r="I968" t="s">
        <v>67</v>
      </c>
      <c r="J968" t="s">
        <v>38</v>
      </c>
      <c r="K968" t="s">
        <v>18</v>
      </c>
      <c r="L968" t="str">
        <f t="shared" si="30"/>
        <v>May</v>
      </c>
      <c r="M968" t="str">
        <f t="shared" si="31"/>
        <v>Friday</v>
      </c>
    </row>
    <row r="969" spans="1:13">
      <c r="A969" t="s">
        <v>1215</v>
      </c>
      <c r="B969" t="s">
        <v>111</v>
      </c>
      <c r="C969" t="s">
        <v>76</v>
      </c>
      <c r="D969" t="s">
        <v>49</v>
      </c>
      <c r="E969">
        <v>1599</v>
      </c>
      <c r="F969">
        <v>4</v>
      </c>
      <c r="G969">
        <v>6396</v>
      </c>
      <c r="H969" t="s">
        <v>30</v>
      </c>
      <c r="I969" t="s">
        <v>125</v>
      </c>
      <c r="J969" t="s">
        <v>90</v>
      </c>
      <c r="K969" t="s">
        <v>45</v>
      </c>
      <c r="L969" t="str">
        <f t="shared" si="30"/>
        <v>Apr</v>
      </c>
      <c r="M969" t="str">
        <f t="shared" si="31"/>
        <v>Sunday</v>
      </c>
    </row>
    <row r="970" spans="1:13">
      <c r="A970" t="s">
        <v>1216</v>
      </c>
      <c r="B970" t="s">
        <v>205</v>
      </c>
      <c r="C970" t="s">
        <v>48</v>
      </c>
      <c r="D970" t="s">
        <v>49</v>
      </c>
      <c r="E970">
        <v>699</v>
      </c>
      <c r="F970">
        <v>2</v>
      </c>
      <c r="G970">
        <v>1398</v>
      </c>
      <c r="H970" t="s">
        <v>102</v>
      </c>
      <c r="I970" t="s">
        <v>44</v>
      </c>
      <c r="J970" t="s">
        <v>38</v>
      </c>
      <c r="K970" t="s">
        <v>18</v>
      </c>
      <c r="L970" t="str">
        <f t="shared" si="30"/>
        <v>Jan</v>
      </c>
      <c r="M970" t="str">
        <f t="shared" si="31"/>
        <v>Wednesday</v>
      </c>
    </row>
    <row r="971" spans="1:13">
      <c r="A971" t="s">
        <v>1217</v>
      </c>
      <c r="B971" t="s">
        <v>84</v>
      </c>
      <c r="C971" t="s">
        <v>52</v>
      </c>
      <c r="D971" t="s">
        <v>53</v>
      </c>
      <c r="E971">
        <v>199</v>
      </c>
      <c r="F971">
        <v>5</v>
      </c>
      <c r="G971">
        <v>995</v>
      </c>
      <c r="H971" t="s">
        <v>56</v>
      </c>
      <c r="I971" t="s">
        <v>98</v>
      </c>
      <c r="J971" t="s">
        <v>38</v>
      </c>
      <c r="K971" t="s">
        <v>33</v>
      </c>
      <c r="L971" t="str">
        <f t="shared" si="30"/>
        <v>Mar</v>
      </c>
      <c r="M971" t="str">
        <f t="shared" si="31"/>
        <v>Saturday</v>
      </c>
    </row>
    <row r="972" spans="1:13">
      <c r="A972" t="s">
        <v>1218</v>
      </c>
      <c r="B972" t="s">
        <v>925</v>
      </c>
      <c r="C972" t="s">
        <v>122</v>
      </c>
      <c r="D972" t="s">
        <v>29</v>
      </c>
      <c r="E972">
        <v>1299</v>
      </c>
      <c r="F972">
        <v>2</v>
      </c>
      <c r="G972">
        <v>2598</v>
      </c>
      <c r="H972" t="s">
        <v>62</v>
      </c>
      <c r="I972" t="s">
        <v>57</v>
      </c>
      <c r="J972" t="s">
        <v>25</v>
      </c>
      <c r="K972" t="s">
        <v>18</v>
      </c>
      <c r="L972" t="str">
        <f t="shared" si="30"/>
        <v>Jun</v>
      </c>
      <c r="M972" t="str">
        <f t="shared" si="31"/>
        <v>Sunday</v>
      </c>
    </row>
    <row r="973" spans="1:13">
      <c r="A973" t="s">
        <v>1219</v>
      </c>
      <c r="B973" t="s">
        <v>434</v>
      </c>
      <c r="C973" t="s">
        <v>13</v>
      </c>
      <c r="D973" t="s">
        <v>14</v>
      </c>
      <c r="E973">
        <v>2499</v>
      </c>
      <c r="F973">
        <v>3</v>
      </c>
      <c r="G973">
        <v>7497</v>
      </c>
      <c r="H973" t="s">
        <v>71</v>
      </c>
      <c r="I973" t="s">
        <v>125</v>
      </c>
      <c r="J973" t="s">
        <v>25</v>
      </c>
      <c r="K973" t="s">
        <v>18</v>
      </c>
      <c r="L973" t="str">
        <f t="shared" si="30"/>
        <v>Mar</v>
      </c>
      <c r="M973" t="str">
        <f t="shared" si="31"/>
        <v>Friday</v>
      </c>
    </row>
    <row r="974" spans="1:13">
      <c r="A974" t="s">
        <v>1220</v>
      </c>
      <c r="B974" t="s">
        <v>408</v>
      </c>
      <c r="C974" t="s">
        <v>21</v>
      </c>
      <c r="D974" t="s">
        <v>22</v>
      </c>
      <c r="E974">
        <v>1499</v>
      </c>
      <c r="F974">
        <v>1</v>
      </c>
      <c r="G974">
        <v>1499</v>
      </c>
      <c r="H974" t="s">
        <v>37</v>
      </c>
      <c r="I974" t="s">
        <v>16</v>
      </c>
      <c r="J974" t="s">
        <v>17</v>
      </c>
      <c r="K974" t="s">
        <v>18</v>
      </c>
      <c r="L974" t="str">
        <f t="shared" si="30"/>
        <v>Mar</v>
      </c>
      <c r="M974" t="str">
        <f t="shared" si="31"/>
        <v>Monday</v>
      </c>
    </row>
    <row r="975" spans="1:13">
      <c r="A975" t="s">
        <v>1221</v>
      </c>
      <c r="B975" t="s">
        <v>134</v>
      </c>
      <c r="C975" t="s">
        <v>135</v>
      </c>
      <c r="D975" t="s">
        <v>29</v>
      </c>
      <c r="E975">
        <v>3999</v>
      </c>
      <c r="F975">
        <v>2</v>
      </c>
      <c r="G975">
        <v>7998</v>
      </c>
      <c r="H975" t="s">
        <v>23</v>
      </c>
      <c r="I975" t="s">
        <v>63</v>
      </c>
      <c r="J975" t="s">
        <v>32</v>
      </c>
      <c r="K975" t="s">
        <v>18</v>
      </c>
      <c r="L975" t="str">
        <f t="shared" si="30"/>
        <v>Jun</v>
      </c>
      <c r="M975" t="str">
        <f t="shared" si="31"/>
        <v>Tuesday</v>
      </c>
    </row>
    <row r="976" spans="1:13">
      <c r="A976" t="s">
        <v>1222</v>
      </c>
      <c r="B976" t="s">
        <v>217</v>
      </c>
      <c r="C976" t="s">
        <v>76</v>
      </c>
      <c r="D976" t="s">
        <v>49</v>
      </c>
      <c r="E976">
        <v>1599</v>
      </c>
      <c r="F976">
        <v>3</v>
      </c>
      <c r="G976">
        <v>4797</v>
      </c>
      <c r="H976" t="s">
        <v>23</v>
      </c>
      <c r="I976" t="s">
        <v>67</v>
      </c>
      <c r="J976" t="s">
        <v>17</v>
      </c>
      <c r="K976" t="s">
        <v>33</v>
      </c>
      <c r="L976" t="str">
        <f t="shared" si="30"/>
        <v>Jun</v>
      </c>
      <c r="M976" t="str">
        <f t="shared" si="31"/>
        <v>Sunday</v>
      </c>
    </row>
    <row r="977" spans="1:13">
      <c r="A977" t="s">
        <v>1223</v>
      </c>
      <c r="B977" t="s">
        <v>314</v>
      </c>
      <c r="C977" t="s">
        <v>76</v>
      </c>
      <c r="D977" t="s">
        <v>49</v>
      </c>
      <c r="E977">
        <v>1599</v>
      </c>
      <c r="F977">
        <v>5</v>
      </c>
      <c r="G977">
        <v>7995</v>
      </c>
      <c r="H977" t="s">
        <v>23</v>
      </c>
      <c r="I977" t="s">
        <v>82</v>
      </c>
      <c r="J977" t="s">
        <v>25</v>
      </c>
      <c r="K977" t="s">
        <v>18</v>
      </c>
      <c r="L977" t="str">
        <f t="shared" si="30"/>
        <v>Feb</v>
      </c>
      <c r="M977" t="str">
        <f t="shared" si="31"/>
        <v>Friday</v>
      </c>
    </row>
    <row r="978" spans="1:13">
      <c r="A978" t="s">
        <v>1224</v>
      </c>
      <c r="B978" t="s">
        <v>84</v>
      </c>
      <c r="C978" t="s">
        <v>13</v>
      </c>
      <c r="D978" t="s">
        <v>14</v>
      </c>
      <c r="E978">
        <v>2499</v>
      </c>
      <c r="F978">
        <v>5</v>
      </c>
      <c r="G978">
        <v>12495</v>
      </c>
      <c r="H978" t="s">
        <v>186</v>
      </c>
      <c r="I978" t="s">
        <v>24</v>
      </c>
      <c r="J978" t="s">
        <v>32</v>
      </c>
      <c r="K978" t="s">
        <v>33</v>
      </c>
      <c r="L978" t="str">
        <f t="shared" si="30"/>
        <v>Mar</v>
      </c>
      <c r="M978" t="str">
        <f t="shared" si="31"/>
        <v>Saturday</v>
      </c>
    </row>
    <row r="979" spans="1:13">
      <c r="A979" t="s">
        <v>1225</v>
      </c>
      <c r="B979" t="s">
        <v>73</v>
      </c>
      <c r="C979" t="s">
        <v>135</v>
      </c>
      <c r="D979" t="s">
        <v>29</v>
      </c>
      <c r="E979">
        <v>3999</v>
      </c>
      <c r="F979">
        <v>3</v>
      </c>
      <c r="G979">
        <v>11997</v>
      </c>
      <c r="H979" t="s">
        <v>30</v>
      </c>
      <c r="I979" t="s">
        <v>125</v>
      </c>
      <c r="J979" t="s">
        <v>25</v>
      </c>
      <c r="K979" t="s">
        <v>18</v>
      </c>
      <c r="L979" t="str">
        <f t="shared" si="30"/>
        <v>Feb</v>
      </c>
      <c r="M979" t="str">
        <f t="shared" si="31"/>
        <v>Thursday</v>
      </c>
    </row>
    <row r="980" spans="1:13">
      <c r="A980" t="s">
        <v>1226</v>
      </c>
      <c r="B980" t="s">
        <v>508</v>
      </c>
      <c r="C980" t="s">
        <v>13</v>
      </c>
      <c r="D980" t="s">
        <v>14</v>
      </c>
      <c r="E980">
        <v>2499</v>
      </c>
      <c r="F980">
        <v>5</v>
      </c>
      <c r="G980">
        <v>12495</v>
      </c>
      <c r="H980" t="s">
        <v>66</v>
      </c>
      <c r="I980" t="s">
        <v>16</v>
      </c>
      <c r="J980" t="s">
        <v>17</v>
      </c>
      <c r="K980" t="s">
        <v>33</v>
      </c>
      <c r="L980" t="str">
        <f t="shared" si="30"/>
        <v>May</v>
      </c>
      <c r="M980" t="str">
        <f t="shared" si="31"/>
        <v>Thursday</v>
      </c>
    </row>
    <row r="981" spans="1:13">
      <c r="A981" t="s">
        <v>1227</v>
      </c>
      <c r="B981" t="s">
        <v>269</v>
      </c>
      <c r="C981" t="s">
        <v>28</v>
      </c>
      <c r="D981" t="s">
        <v>29</v>
      </c>
      <c r="E981">
        <v>1299</v>
      </c>
      <c r="F981">
        <v>5</v>
      </c>
      <c r="G981">
        <v>6495</v>
      </c>
      <c r="H981" t="s">
        <v>66</v>
      </c>
      <c r="I981" t="s">
        <v>98</v>
      </c>
      <c r="J981" t="s">
        <v>38</v>
      </c>
      <c r="K981" t="s">
        <v>18</v>
      </c>
      <c r="L981" t="str">
        <f t="shared" si="30"/>
        <v>Jan</v>
      </c>
      <c r="M981" t="str">
        <f t="shared" si="31"/>
        <v>Saturday</v>
      </c>
    </row>
    <row r="982" spans="1:13">
      <c r="A982" t="s">
        <v>1228</v>
      </c>
      <c r="B982" t="s">
        <v>925</v>
      </c>
      <c r="C982" t="s">
        <v>28</v>
      </c>
      <c r="D982" t="s">
        <v>29</v>
      </c>
      <c r="E982">
        <v>1299</v>
      </c>
      <c r="F982">
        <v>3</v>
      </c>
      <c r="G982">
        <v>3897</v>
      </c>
      <c r="H982" t="s">
        <v>71</v>
      </c>
      <c r="I982" t="s">
        <v>31</v>
      </c>
      <c r="J982" t="s">
        <v>90</v>
      </c>
      <c r="K982" t="s">
        <v>18</v>
      </c>
      <c r="L982" t="str">
        <f t="shared" si="30"/>
        <v>Jun</v>
      </c>
      <c r="M982" t="str">
        <f t="shared" si="31"/>
        <v>Sunday</v>
      </c>
    </row>
    <row r="983" spans="1:13">
      <c r="A983" t="s">
        <v>1229</v>
      </c>
      <c r="B983" t="s">
        <v>27</v>
      </c>
      <c r="C983" t="s">
        <v>36</v>
      </c>
      <c r="D983" t="s">
        <v>29</v>
      </c>
      <c r="E983">
        <v>1999</v>
      </c>
      <c r="F983">
        <v>4</v>
      </c>
      <c r="G983">
        <v>7996</v>
      </c>
      <c r="H983" t="s">
        <v>102</v>
      </c>
      <c r="I983" t="s">
        <v>82</v>
      </c>
      <c r="J983" t="s">
        <v>38</v>
      </c>
      <c r="K983" t="s">
        <v>18</v>
      </c>
      <c r="L983" t="str">
        <f t="shared" si="30"/>
        <v>Jun</v>
      </c>
      <c r="M983" t="str">
        <f t="shared" si="31"/>
        <v>Saturday</v>
      </c>
    </row>
    <row r="984" spans="1:13">
      <c r="A984" t="s">
        <v>1230</v>
      </c>
      <c r="B984" t="s">
        <v>303</v>
      </c>
      <c r="C984" t="s">
        <v>36</v>
      </c>
      <c r="D984" t="s">
        <v>29</v>
      </c>
      <c r="E984">
        <v>1999</v>
      </c>
      <c r="F984">
        <v>2</v>
      </c>
      <c r="G984">
        <v>3998</v>
      </c>
      <c r="H984" t="s">
        <v>23</v>
      </c>
      <c r="I984" t="s">
        <v>24</v>
      </c>
      <c r="J984" t="s">
        <v>38</v>
      </c>
      <c r="K984" t="s">
        <v>33</v>
      </c>
      <c r="L984" t="str">
        <f t="shared" si="30"/>
        <v>Jun</v>
      </c>
      <c r="M984" t="str">
        <f t="shared" si="31"/>
        <v>Tuesday</v>
      </c>
    </row>
    <row r="985" spans="1:13">
      <c r="A985" t="s">
        <v>1231</v>
      </c>
      <c r="B985" t="s">
        <v>243</v>
      </c>
      <c r="C985" t="s">
        <v>80</v>
      </c>
      <c r="D985" t="s">
        <v>81</v>
      </c>
      <c r="E985">
        <v>299</v>
      </c>
      <c r="F985">
        <v>4</v>
      </c>
      <c r="G985">
        <v>1196</v>
      </c>
      <c r="H985" t="s">
        <v>37</v>
      </c>
      <c r="I985" t="s">
        <v>24</v>
      </c>
      <c r="J985" t="s">
        <v>17</v>
      </c>
      <c r="K985" t="s">
        <v>18</v>
      </c>
      <c r="L985" t="str">
        <f t="shared" si="30"/>
        <v>Feb</v>
      </c>
      <c r="M985" t="str">
        <f t="shared" si="31"/>
        <v>Friday</v>
      </c>
    </row>
    <row r="986" spans="1:13">
      <c r="A986" t="s">
        <v>1232</v>
      </c>
      <c r="B986" t="s">
        <v>179</v>
      </c>
      <c r="C986" t="s">
        <v>48</v>
      </c>
      <c r="D986" t="s">
        <v>49</v>
      </c>
      <c r="E986">
        <v>699</v>
      </c>
      <c r="F986">
        <v>5</v>
      </c>
      <c r="G986">
        <v>3495</v>
      </c>
      <c r="H986" t="s">
        <v>89</v>
      </c>
      <c r="I986" t="s">
        <v>82</v>
      </c>
      <c r="J986" t="s">
        <v>17</v>
      </c>
      <c r="K986" t="s">
        <v>18</v>
      </c>
      <c r="L986" t="str">
        <f t="shared" si="30"/>
        <v>May</v>
      </c>
      <c r="M986" t="str">
        <f t="shared" si="31"/>
        <v>Wednesday</v>
      </c>
    </row>
    <row r="987" spans="1:13">
      <c r="A987" t="s">
        <v>1233</v>
      </c>
      <c r="B987" t="s">
        <v>413</v>
      </c>
      <c r="C987" t="s">
        <v>135</v>
      </c>
      <c r="D987" t="s">
        <v>29</v>
      </c>
      <c r="E987">
        <v>3999</v>
      </c>
      <c r="F987">
        <v>5</v>
      </c>
      <c r="G987">
        <v>19995</v>
      </c>
      <c r="H987" t="s">
        <v>89</v>
      </c>
      <c r="I987" t="s">
        <v>77</v>
      </c>
      <c r="J987" t="s">
        <v>17</v>
      </c>
      <c r="K987" t="s">
        <v>18</v>
      </c>
      <c r="L987" t="str">
        <f t="shared" si="30"/>
        <v>Apr</v>
      </c>
      <c r="M987" t="str">
        <f t="shared" si="31"/>
        <v>Thursday</v>
      </c>
    </row>
    <row r="988" spans="1:13">
      <c r="A988" t="s">
        <v>1234</v>
      </c>
      <c r="B988" t="s">
        <v>316</v>
      </c>
      <c r="C988" t="s">
        <v>122</v>
      </c>
      <c r="D988" t="s">
        <v>29</v>
      </c>
      <c r="E988">
        <v>1299</v>
      </c>
      <c r="F988">
        <v>1</v>
      </c>
      <c r="G988">
        <v>1299</v>
      </c>
      <c r="H988" t="s">
        <v>15</v>
      </c>
      <c r="I988" t="s">
        <v>24</v>
      </c>
      <c r="J988" t="s">
        <v>17</v>
      </c>
      <c r="K988" t="s">
        <v>18</v>
      </c>
      <c r="L988" t="str">
        <f t="shared" si="30"/>
        <v>Mar</v>
      </c>
      <c r="M988" t="str">
        <f t="shared" si="31"/>
        <v>Wednesday</v>
      </c>
    </row>
    <row r="989" spans="1:13">
      <c r="A989" t="s">
        <v>1235</v>
      </c>
      <c r="B989" t="s">
        <v>297</v>
      </c>
      <c r="C989" t="s">
        <v>70</v>
      </c>
      <c r="D989" t="s">
        <v>29</v>
      </c>
      <c r="E989">
        <v>799</v>
      </c>
      <c r="F989">
        <v>4</v>
      </c>
      <c r="G989">
        <v>3196</v>
      </c>
      <c r="H989" t="s">
        <v>102</v>
      </c>
      <c r="I989" t="s">
        <v>67</v>
      </c>
      <c r="J989" t="s">
        <v>38</v>
      </c>
      <c r="K989" t="s">
        <v>18</v>
      </c>
      <c r="L989" t="str">
        <f t="shared" si="30"/>
        <v>Feb</v>
      </c>
      <c r="M989" t="str">
        <f t="shared" si="31"/>
        <v>Thursday</v>
      </c>
    </row>
    <row r="990" spans="1:13">
      <c r="A990" t="s">
        <v>1236</v>
      </c>
      <c r="B990" t="s">
        <v>221</v>
      </c>
      <c r="C990" t="s">
        <v>80</v>
      </c>
      <c r="D990" t="s">
        <v>81</v>
      </c>
      <c r="E990">
        <v>299</v>
      </c>
      <c r="F990">
        <v>3</v>
      </c>
      <c r="G990">
        <v>897</v>
      </c>
      <c r="H990" t="s">
        <v>102</v>
      </c>
      <c r="I990" t="s">
        <v>16</v>
      </c>
      <c r="J990" t="s">
        <v>25</v>
      </c>
      <c r="K990" t="s">
        <v>18</v>
      </c>
      <c r="L990" t="str">
        <f t="shared" si="30"/>
        <v>Mar</v>
      </c>
      <c r="M990" t="str">
        <f t="shared" si="31"/>
        <v>Thursday</v>
      </c>
    </row>
    <row r="991" spans="1:13">
      <c r="A991" t="s">
        <v>1237</v>
      </c>
      <c r="B991" t="s">
        <v>134</v>
      </c>
      <c r="C991" t="s">
        <v>76</v>
      </c>
      <c r="D991" t="s">
        <v>49</v>
      </c>
      <c r="E991">
        <v>1599</v>
      </c>
      <c r="F991">
        <v>2</v>
      </c>
      <c r="G991">
        <v>3198</v>
      </c>
      <c r="H991" t="s">
        <v>30</v>
      </c>
      <c r="I991" t="s">
        <v>16</v>
      </c>
      <c r="J991" t="s">
        <v>38</v>
      </c>
      <c r="K991" t="s">
        <v>18</v>
      </c>
      <c r="L991" t="str">
        <f t="shared" si="30"/>
        <v>Jun</v>
      </c>
      <c r="M991" t="str">
        <f t="shared" si="31"/>
        <v>Tuesday</v>
      </c>
    </row>
    <row r="992" spans="1:13">
      <c r="A992" t="s">
        <v>1238</v>
      </c>
      <c r="B992" t="s">
        <v>94</v>
      </c>
      <c r="C992" t="s">
        <v>101</v>
      </c>
      <c r="D992" t="s">
        <v>81</v>
      </c>
      <c r="E992">
        <v>499</v>
      </c>
      <c r="F992">
        <v>2</v>
      </c>
      <c r="G992">
        <v>998</v>
      </c>
      <c r="H992" t="s">
        <v>119</v>
      </c>
      <c r="I992" t="s">
        <v>16</v>
      </c>
      <c r="J992" t="s">
        <v>32</v>
      </c>
      <c r="K992" t="s">
        <v>18</v>
      </c>
      <c r="L992" t="str">
        <f t="shared" si="30"/>
        <v>Jun</v>
      </c>
      <c r="M992" t="str">
        <f t="shared" si="31"/>
        <v>Saturday</v>
      </c>
    </row>
    <row r="993" spans="1:13">
      <c r="A993" t="s">
        <v>1239</v>
      </c>
      <c r="B993" t="s">
        <v>402</v>
      </c>
      <c r="C993" t="s">
        <v>48</v>
      </c>
      <c r="D993" t="s">
        <v>49</v>
      </c>
      <c r="E993">
        <v>699</v>
      </c>
      <c r="F993">
        <v>3</v>
      </c>
      <c r="G993">
        <v>2097</v>
      </c>
      <c r="H993" t="s">
        <v>66</v>
      </c>
      <c r="I993" t="s">
        <v>57</v>
      </c>
      <c r="J993" t="s">
        <v>17</v>
      </c>
      <c r="K993" t="s">
        <v>18</v>
      </c>
      <c r="L993" t="str">
        <f t="shared" si="30"/>
        <v>Jun</v>
      </c>
      <c r="M993" t="str">
        <f t="shared" si="31"/>
        <v>Friday</v>
      </c>
    </row>
    <row r="994" spans="1:13">
      <c r="A994" t="s">
        <v>1240</v>
      </c>
      <c r="B994" t="s">
        <v>255</v>
      </c>
      <c r="C994" t="s">
        <v>80</v>
      </c>
      <c r="D994" t="s">
        <v>81</v>
      </c>
      <c r="E994">
        <v>299</v>
      </c>
      <c r="F994">
        <v>5</v>
      </c>
      <c r="G994">
        <v>1495</v>
      </c>
      <c r="H994" t="s">
        <v>62</v>
      </c>
      <c r="I994" t="s">
        <v>16</v>
      </c>
      <c r="J994" t="s">
        <v>90</v>
      </c>
      <c r="K994" t="s">
        <v>18</v>
      </c>
      <c r="L994" t="str">
        <f t="shared" si="30"/>
        <v>Mar</v>
      </c>
      <c r="M994" t="str">
        <f t="shared" si="31"/>
        <v>Thursday</v>
      </c>
    </row>
    <row r="995" spans="1:13">
      <c r="A995" t="s">
        <v>1241</v>
      </c>
      <c r="B995" t="s">
        <v>379</v>
      </c>
      <c r="C995" t="s">
        <v>13</v>
      </c>
      <c r="D995" t="s">
        <v>14</v>
      </c>
      <c r="E995">
        <v>2499</v>
      </c>
      <c r="F995">
        <v>2</v>
      </c>
      <c r="G995">
        <v>4998</v>
      </c>
      <c r="H995" t="s">
        <v>30</v>
      </c>
      <c r="I995" t="s">
        <v>63</v>
      </c>
      <c r="J995" t="s">
        <v>32</v>
      </c>
      <c r="K995" t="s">
        <v>18</v>
      </c>
      <c r="L995" t="str">
        <f t="shared" si="30"/>
        <v>Jun</v>
      </c>
      <c r="M995" t="str">
        <f t="shared" si="31"/>
        <v>Friday</v>
      </c>
    </row>
    <row r="996" spans="1:13">
      <c r="A996" t="s">
        <v>1242</v>
      </c>
      <c r="B996" t="s">
        <v>241</v>
      </c>
      <c r="C996" t="s">
        <v>135</v>
      </c>
      <c r="D996" t="s">
        <v>29</v>
      </c>
      <c r="E996">
        <v>3999</v>
      </c>
      <c r="F996">
        <v>4</v>
      </c>
      <c r="G996">
        <v>15996</v>
      </c>
      <c r="H996" t="s">
        <v>95</v>
      </c>
      <c r="I996" t="s">
        <v>57</v>
      </c>
      <c r="J996" t="s">
        <v>32</v>
      </c>
      <c r="K996" t="s">
        <v>33</v>
      </c>
      <c r="L996" t="str">
        <f t="shared" si="30"/>
        <v>Jan</v>
      </c>
      <c r="M996" t="str">
        <f t="shared" si="31"/>
        <v>Tuesday</v>
      </c>
    </row>
    <row r="997" spans="1:13">
      <c r="A997" t="s">
        <v>1243</v>
      </c>
      <c r="B997" t="s">
        <v>343</v>
      </c>
      <c r="C997" t="s">
        <v>135</v>
      </c>
      <c r="D997" t="s">
        <v>29</v>
      </c>
      <c r="E997">
        <v>3999</v>
      </c>
      <c r="F997">
        <v>3</v>
      </c>
      <c r="G997">
        <v>11997</v>
      </c>
      <c r="H997" t="s">
        <v>15</v>
      </c>
      <c r="I997" t="s">
        <v>57</v>
      </c>
      <c r="J997" t="s">
        <v>25</v>
      </c>
      <c r="K997" t="s">
        <v>18</v>
      </c>
      <c r="L997" t="str">
        <f t="shared" si="30"/>
        <v>May</v>
      </c>
      <c r="M997" t="str">
        <f t="shared" si="31"/>
        <v>Friday</v>
      </c>
    </row>
    <row r="998" spans="1:13">
      <c r="A998" t="s">
        <v>1244</v>
      </c>
      <c r="B998" t="s">
        <v>361</v>
      </c>
      <c r="C998" t="s">
        <v>87</v>
      </c>
      <c r="D998" t="s">
        <v>88</v>
      </c>
      <c r="E998">
        <v>5499</v>
      </c>
      <c r="F998">
        <v>2</v>
      </c>
      <c r="G998">
        <v>10998</v>
      </c>
      <c r="H998" t="s">
        <v>95</v>
      </c>
      <c r="I998" t="s">
        <v>77</v>
      </c>
      <c r="J998" t="s">
        <v>32</v>
      </c>
      <c r="K998" t="s">
        <v>18</v>
      </c>
      <c r="L998" t="str">
        <f t="shared" si="30"/>
        <v>Feb</v>
      </c>
      <c r="M998" t="str">
        <f t="shared" si="31"/>
        <v>Tuesday</v>
      </c>
    </row>
    <row r="999" spans="1:13">
      <c r="A999" t="s">
        <v>1245</v>
      </c>
      <c r="B999" t="s">
        <v>207</v>
      </c>
      <c r="C999" t="s">
        <v>101</v>
      </c>
      <c r="D999" t="s">
        <v>81</v>
      </c>
      <c r="E999">
        <v>499</v>
      </c>
      <c r="F999">
        <v>5</v>
      </c>
      <c r="G999">
        <v>2495</v>
      </c>
      <c r="H999" t="s">
        <v>186</v>
      </c>
      <c r="I999" t="s">
        <v>57</v>
      </c>
      <c r="J999" t="s">
        <v>17</v>
      </c>
      <c r="K999" t="s">
        <v>18</v>
      </c>
      <c r="L999" t="str">
        <f t="shared" si="30"/>
        <v>Feb</v>
      </c>
      <c r="M999" t="str">
        <f t="shared" si="31"/>
        <v>Monday</v>
      </c>
    </row>
    <row r="1000" spans="1:13">
      <c r="A1000" t="s">
        <v>1246</v>
      </c>
      <c r="B1000" t="s">
        <v>657</v>
      </c>
      <c r="C1000" t="s">
        <v>52</v>
      </c>
      <c r="D1000" t="s">
        <v>53</v>
      </c>
      <c r="E1000">
        <v>199</v>
      </c>
      <c r="F1000">
        <v>4</v>
      </c>
      <c r="G1000">
        <v>796</v>
      </c>
      <c r="H1000" t="s">
        <v>30</v>
      </c>
      <c r="I1000" t="s">
        <v>63</v>
      </c>
      <c r="J1000" t="s">
        <v>90</v>
      </c>
      <c r="K1000" t="s">
        <v>18</v>
      </c>
      <c r="L1000" t="str">
        <f t="shared" si="30"/>
        <v>Jan</v>
      </c>
      <c r="M1000" t="str">
        <f t="shared" si="31"/>
        <v>Friday</v>
      </c>
    </row>
    <row r="1001" spans="1:13">
      <c r="A1001" t="s">
        <v>1247</v>
      </c>
      <c r="B1001" t="s">
        <v>598</v>
      </c>
      <c r="C1001" t="s">
        <v>80</v>
      </c>
      <c r="D1001" t="s">
        <v>81</v>
      </c>
      <c r="E1001">
        <v>299</v>
      </c>
      <c r="F1001">
        <v>4</v>
      </c>
      <c r="G1001">
        <v>1196</v>
      </c>
      <c r="H1001" t="s">
        <v>66</v>
      </c>
      <c r="I1001" t="s">
        <v>82</v>
      </c>
      <c r="J1001" t="s">
        <v>90</v>
      </c>
      <c r="K1001" t="s">
        <v>18</v>
      </c>
      <c r="L1001" t="str">
        <f t="shared" si="30"/>
        <v>Jun</v>
      </c>
      <c r="M1001" t="str">
        <f t="shared" si="31"/>
        <v>Thursday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74"/>
  <sheetViews>
    <sheetView zoomScale="78" zoomScaleNormal="78" workbookViewId="0">
      <selection activeCell="A8" sqref="A8"/>
    </sheetView>
  </sheetViews>
  <sheetFormatPr defaultColWidth="9" defaultRowHeight="14.4" outlineLevelCol="6"/>
  <cols>
    <col min="1" max="1" width="13.1111111111111"/>
    <col min="2" max="2" width="16.1111111111111"/>
    <col min="4" max="5" width="13.1111111111111"/>
    <col min="6" max="6" width="17.8888888888889"/>
    <col min="7" max="7" width="17.2222222222222"/>
  </cols>
  <sheetData>
    <row r="3" spans="1:5">
      <c r="A3" t="s">
        <v>1250</v>
      </c>
      <c r="B3" t="s">
        <v>1251</v>
      </c>
    </row>
    <row r="4" spans="1:5">
      <c r="A4" s="2" t="s">
        <v>22</v>
      </c>
      <c r="B4">
        <v>323784</v>
      </c>
    </row>
    <row r="5" spans="1:5">
      <c r="A5" s="2" t="s">
        <v>49</v>
      </c>
      <c r="B5">
        <v>560949</v>
      </c>
    </row>
    <row r="6" spans="1:5">
      <c r="A6" s="2" t="s">
        <v>29</v>
      </c>
      <c r="B6">
        <v>2294425</v>
      </c>
    </row>
    <row r="7" spans="1:5">
      <c r="A7" s="2" t="s">
        <v>14</v>
      </c>
      <c r="B7">
        <v>472311</v>
      </c>
      <c r="D7" t="s">
        <v>1250</v>
      </c>
      <c r="E7" t="s">
        <v>1251</v>
      </c>
    </row>
    <row r="8" spans="1:5">
      <c r="A8" s="2" t="s">
        <v>88</v>
      </c>
      <c r="B8">
        <v>1132794</v>
      </c>
      <c r="D8" s="2" t="s">
        <v>24</v>
      </c>
      <c r="E8">
        <v>501312</v>
      </c>
    </row>
    <row r="9" spans="1:5">
      <c r="A9" s="2" t="s">
        <v>81</v>
      </c>
      <c r="B9">
        <v>162976</v>
      </c>
      <c r="D9" s="2" t="s">
        <v>16</v>
      </c>
      <c r="E9">
        <v>422251</v>
      </c>
    </row>
    <row r="10" spans="1:5">
      <c r="A10" s="2" t="s">
        <v>61</v>
      </c>
      <c r="B10">
        <v>168113</v>
      </c>
      <c r="D10" s="2" t="s">
        <v>98</v>
      </c>
      <c r="E10">
        <v>344288</v>
      </c>
    </row>
    <row r="11" spans="1:5">
      <c r="A11" s="2" t="s">
        <v>53</v>
      </c>
      <c r="B11">
        <v>31641</v>
      </c>
      <c r="D11" s="2" t="s">
        <v>77</v>
      </c>
      <c r="E11">
        <v>461355</v>
      </c>
    </row>
    <row r="12" spans="1:5">
      <c r="A12" s="2" t="s">
        <v>1252</v>
      </c>
      <c r="B12">
        <v>5146993</v>
      </c>
      <c r="D12" s="2" t="s">
        <v>31</v>
      </c>
      <c r="E12">
        <v>439427</v>
      </c>
    </row>
    <row r="13" spans="1:5">
      <c r="D13" s="2" t="s">
        <v>125</v>
      </c>
      <c r="E13">
        <v>373459</v>
      </c>
    </row>
    <row r="14" spans="1:5">
      <c r="D14" s="2" t="s">
        <v>67</v>
      </c>
      <c r="E14">
        <v>514502</v>
      </c>
    </row>
    <row r="15" spans="1:5">
      <c r="D15" s="2" t="s">
        <v>44</v>
      </c>
      <c r="E15">
        <v>405660</v>
      </c>
    </row>
    <row r="16" spans="1:5">
      <c r="D16" s="2" t="s">
        <v>105</v>
      </c>
      <c r="E16">
        <v>380982</v>
      </c>
    </row>
    <row r="17" spans="1:7">
      <c r="D17" s="2" t="s">
        <v>82</v>
      </c>
      <c r="E17">
        <v>348208</v>
      </c>
    </row>
    <row r="18" spans="1:7">
      <c r="D18" s="2" t="s">
        <v>63</v>
      </c>
      <c r="E18">
        <v>469917</v>
      </c>
    </row>
    <row r="19" spans="1:7">
      <c r="D19" s="2" t="s">
        <v>57</v>
      </c>
      <c r="E19">
        <v>485632</v>
      </c>
    </row>
    <row r="20" spans="1:7">
      <c r="D20" s="2" t="s">
        <v>1252</v>
      </c>
      <c r="E20">
        <v>5146993</v>
      </c>
    </row>
    <row r="23" spans="1:7">
      <c r="F23" t="s">
        <v>1250</v>
      </c>
      <c r="G23" t="s">
        <v>1253</v>
      </c>
    </row>
    <row r="24" spans="1:7">
      <c r="A24" t="s">
        <v>1250</v>
      </c>
      <c r="B24" t="s">
        <v>1251</v>
      </c>
      <c r="F24" s="2" t="s">
        <v>32</v>
      </c>
      <c r="G24">
        <v>196</v>
      </c>
    </row>
    <row r="25" spans="1:7">
      <c r="A25" s="2" t="s">
        <v>21</v>
      </c>
      <c r="B25">
        <v>323784</v>
      </c>
      <c r="F25" s="2" t="s">
        <v>90</v>
      </c>
      <c r="G25">
        <v>186</v>
      </c>
    </row>
    <row r="26" spans="1:7">
      <c r="A26" s="2" t="s">
        <v>162</v>
      </c>
      <c r="B26">
        <v>383187</v>
      </c>
      <c r="F26" s="2" t="s">
        <v>25</v>
      </c>
      <c r="G26">
        <v>229</v>
      </c>
    </row>
    <row r="27" spans="1:7">
      <c r="A27" s="2" t="s">
        <v>80</v>
      </c>
      <c r="B27">
        <v>72657</v>
      </c>
      <c r="F27" s="2" t="s">
        <v>17</v>
      </c>
      <c r="G27">
        <v>198</v>
      </c>
    </row>
    <row r="28" spans="1:7">
      <c r="A28" s="2" t="s">
        <v>36</v>
      </c>
      <c r="B28">
        <v>343828</v>
      </c>
      <c r="F28" s="2" t="s">
        <v>38</v>
      </c>
      <c r="G28">
        <v>191</v>
      </c>
    </row>
    <row r="29" spans="1:7">
      <c r="A29" s="2" t="s">
        <v>76</v>
      </c>
      <c r="B29">
        <v>436527</v>
      </c>
      <c r="F29" s="2" t="s">
        <v>1252</v>
      </c>
      <c r="G29">
        <v>1000</v>
      </c>
    </row>
    <row r="30" spans="1:7">
      <c r="A30" s="2" t="s">
        <v>28</v>
      </c>
      <c r="B30">
        <v>263697</v>
      </c>
    </row>
    <row r="31" spans="1:7">
      <c r="A31" s="2" t="s">
        <v>52</v>
      </c>
      <c r="B31">
        <v>31641</v>
      </c>
    </row>
    <row r="32" spans="1:7">
      <c r="A32" s="2" t="s">
        <v>87</v>
      </c>
      <c r="B32">
        <v>1132794</v>
      </c>
    </row>
    <row r="33" spans="1:6">
      <c r="A33" s="2" t="s">
        <v>122</v>
      </c>
      <c r="B33">
        <v>206541</v>
      </c>
    </row>
    <row r="34" spans="1:6">
      <c r="A34" s="2" t="s">
        <v>13</v>
      </c>
      <c r="B34">
        <v>472311</v>
      </c>
    </row>
    <row r="35" spans="1:6">
      <c r="A35" s="2" t="s">
        <v>135</v>
      </c>
      <c r="B35">
        <v>943764</v>
      </c>
    </row>
    <row r="36" spans="1:6">
      <c r="A36" s="2" t="s">
        <v>60</v>
      </c>
      <c r="B36">
        <v>168113</v>
      </c>
    </row>
    <row r="37" spans="1:6">
      <c r="A37" s="2" t="s">
        <v>48</v>
      </c>
      <c r="B37">
        <v>124422</v>
      </c>
    </row>
    <row r="38" spans="1:6">
      <c r="A38" s="2" t="s">
        <v>101</v>
      </c>
      <c r="B38">
        <v>90319</v>
      </c>
    </row>
    <row r="39" spans="1:6">
      <c r="A39" s="2" t="s">
        <v>70</v>
      </c>
      <c r="B39">
        <v>153408</v>
      </c>
    </row>
    <row r="40" spans="1:6">
      <c r="A40" s="2" t="s">
        <v>1252</v>
      </c>
      <c r="B40">
        <v>5146993</v>
      </c>
    </row>
    <row r="46" spans="1:6">
      <c r="A46" t="s">
        <v>1250</v>
      </c>
      <c r="B46" t="s">
        <v>1253</v>
      </c>
      <c r="E46" t="s">
        <v>1250</v>
      </c>
      <c r="F46" t="s">
        <v>1251</v>
      </c>
    </row>
    <row r="47" spans="1:6">
      <c r="A47" s="2" t="s">
        <v>33</v>
      </c>
      <c r="B47">
        <v>117</v>
      </c>
      <c r="E47" s="2" t="s">
        <v>1254</v>
      </c>
      <c r="F47">
        <v>1005510</v>
      </c>
    </row>
    <row r="48" spans="1:6">
      <c r="A48" s="2" t="s">
        <v>18</v>
      </c>
      <c r="B48">
        <v>681</v>
      </c>
      <c r="E48" s="2" t="s">
        <v>1255</v>
      </c>
      <c r="F48">
        <v>700290</v>
      </c>
    </row>
    <row r="49" spans="1:6">
      <c r="A49" s="2" t="s">
        <v>45</v>
      </c>
      <c r="B49">
        <v>202</v>
      </c>
      <c r="E49" s="2" t="s">
        <v>1256</v>
      </c>
      <c r="F49">
        <v>955026</v>
      </c>
    </row>
    <row r="50" spans="1:6">
      <c r="A50" s="2" t="s">
        <v>1252</v>
      </c>
      <c r="B50">
        <v>1000</v>
      </c>
      <c r="E50" s="2" t="s">
        <v>1257</v>
      </c>
      <c r="F50">
        <v>821108</v>
      </c>
    </row>
    <row r="51" spans="1:6">
      <c r="E51" s="2" t="s">
        <v>1258</v>
      </c>
      <c r="F51">
        <v>782448</v>
      </c>
    </row>
    <row r="52" spans="1:6">
      <c r="E52" s="2" t="s">
        <v>1259</v>
      </c>
      <c r="F52">
        <v>882611</v>
      </c>
    </row>
    <row r="53" spans="1:6">
      <c r="E53" s="2" t="s">
        <v>1252</v>
      </c>
      <c r="F53">
        <v>5146993</v>
      </c>
    </row>
    <row r="58" spans="1:6">
      <c r="A58" t="s">
        <v>1250</v>
      </c>
      <c r="B58" t="s">
        <v>1260</v>
      </c>
      <c r="E58" t="s">
        <v>1250</v>
      </c>
      <c r="F58" t="s">
        <v>1260</v>
      </c>
    </row>
    <row r="59" spans="1:6">
      <c r="A59" s="2" t="s">
        <v>22</v>
      </c>
      <c r="B59">
        <v>216</v>
      </c>
      <c r="E59" s="2" t="s">
        <v>21</v>
      </c>
      <c r="F59">
        <v>216</v>
      </c>
    </row>
    <row r="60" spans="1:6">
      <c r="A60" s="2" t="s">
        <v>49</v>
      </c>
      <c r="B60">
        <v>451</v>
      </c>
      <c r="E60" s="2" t="s">
        <v>162</v>
      </c>
      <c r="F60">
        <v>213</v>
      </c>
    </row>
    <row r="61" spans="1:6">
      <c r="A61" s="2" t="s">
        <v>29</v>
      </c>
      <c r="B61">
        <v>1175</v>
      </c>
      <c r="E61" s="2" t="s">
        <v>80</v>
      </c>
      <c r="F61">
        <v>243</v>
      </c>
    </row>
    <row r="62" spans="1:6">
      <c r="A62" s="2" t="s">
        <v>14</v>
      </c>
      <c r="B62">
        <v>189</v>
      </c>
      <c r="E62" s="2" t="s">
        <v>36</v>
      </c>
      <c r="F62">
        <v>172</v>
      </c>
    </row>
    <row r="63" spans="1:6">
      <c r="A63" s="2" t="s">
        <v>88</v>
      </c>
      <c r="B63">
        <v>206</v>
      </c>
      <c r="E63" s="2" t="s">
        <v>76</v>
      </c>
      <c r="F63">
        <v>273</v>
      </c>
    </row>
    <row r="64" spans="1:6">
      <c r="A64" s="2" t="s">
        <v>81</v>
      </c>
      <c r="B64">
        <v>424</v>
      </c>
      <c r="E64" s="2" t="s">
        <v>28</v>
      </c>
      <c r="F64">
        <v>203</v>
      </c>
    </row>
    <row r="65" spans="1:6">
      <c r="A65" s="2" t="s">
        <v>61</v>
      </c>
      <c r="B65">
        <v>187</v>
      </c>
      <c r="E65" s="2" t="s">
        <v>52</v>
      </c>
      <c r="F65">
        <v>159</v>
      </c>
    </row>
    <row r="66" spans="1:6">
      <c r="A66" s="2" t="s">
        <v>53</v>
      </c>
      <c r="B66">
        <v>159</v>
      </c>
      <c r="E66" s="2" t="s">
        <v>87</v>
      </c>
      <c r="F66">
        <v>206</v>
      </c>
    </row>
    <row r="67" spans="1:6">
      <c r="A67" s="2" t="s">
        <v>1252</v>
      </c>
      <c r="B67">
        <v>3007</v>
      </c>
      <c r="E67" s="2" t="s">
        <v>122</v>
      </c>
      <c r="F67">
        <v>159</v>
      </c>
    </row>
    <row r="68" spans="1:6">
      <c r="E68" s="2" t="s">
        <v>13</v>
      </c>
      <c r="F68">
        <v>189</v>
      </c>
    </row>
    <row r="69" spans="1:6">
      <c r="E69" s="2" t="s">
        <v>135</v>
      </c>
      <c r="F69">
        <v>236</v>
      </c>
    </row>
    <row r="70" spans="1:6">
      <c r="E70" s="2" t="s">
        <v>60</v>
      </c>
      <c r="F70">
        <v>187</v>
      </c>
    </row>
    <row r="71" spans="1:6">
      <c r="E71" s="2" t="s">
        <v>48</v>
      </c>
      <c r="F71">
        <v>178</v>
      </c>
    </row>
    <row r="72" spans="1:6">
      <c r="E72" s="2" t="s">
        <v>101</v>
      </c>
      <c r="F72">
        <v>181</v>
      </c>
    </row>
    <row r="73" spans="1:6">
      <c r="E73" s="2" t="s">
        <v>70</v>
      </c>
      <c r="F73">
        <v>192</v>
      </c>
    </row>
    <row r="74" spans="1:6">
      <c r="E74" s="2" t="s">
        <v>1252</v>
      </c>
      <c r="F74">
        <v>3007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0"/>
  <sheetViews>
    <sheetView tabSelected="1" zoomScale="90" zoomScaleNormal="90" workbookViewId="0">
      <selection activeCell="R18" sqref="R18"/>
    </sheetView>
  </sheetViews>
  <sheetFormatPr defaultColWidth="9" defaultRowHeight="14.4" outlineLevelCol="2"/>
  <cols>
    <col min="1" max="16384" width="8.88888888888889" style="1"/>
  </cols>
  <sheetData>
    <row r="30" spans="3:3">
      <c r="C30" s="1" t="s">
        <v>1261</v>
      </c>
    </row>
  </sheetData>
  <pageMargins left="0.7" right="0.7" top="0.75" bottom="0.75" header="0.3" footer="0.3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Cleaned Data</vt:lpstr>
      <vt:lpstr>pivote</vt:lpstr>
      <vt:lpstr>Dashbord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shraddha mangalge</cp:lastModifiedBy>
  <dcterms:created xsi:type="dcterms:W3CDTF">2026-07-23T10:46:00Z</dcterms:created>
  <dcterms:modified xsi:type="dcterms:W3CDTF">2026-08-13T21:06:54Z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222B30C9F9E84499BB6FF68166F00391_13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